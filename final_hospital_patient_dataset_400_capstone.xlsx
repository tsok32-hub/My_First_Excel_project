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allaschildrens-my.sharepoint.com/personal/ademoi_childrens_com/Documents/Documents/"/>
    </mc:Choice>
  </mc:AlternateContent>
  <xr:revisionPtr revIDLastSave="0" documentId="8_{857205C5-A776-4F61-89D6-50B46F56276A}" xr6:coauthVersionLast="47" xr6:coauthVersionMax="47" xr10:uidLastSave="{00000000-0000-0000-0000-000000000000}"/>
  <bookViews>
    <workbookView xWindow="-120" yWindow="-120" windowWidth="29040" windowHeight="15720" activeTab="2" xr2:uid="{00000000-000D-0000-FFFF-FFFF00000000}"/>
  </bookViews>
  <sheets>
    <sheet name="Hospital_Data (2)" sheetId="2" r:id="rId1"/>
    <sheet name="Clean Data" sheetId="1" r:id="rId2"/>
    <sheet name="Pivot Tables" sheetId="5" r:id="rId3"/>
    <sheet name="DashBoard" sheetId="6" r:id="rId4"/>
  </sheets>
  <definedNames>
    <definedName name="_xlchart.v2.0" hidden="1">'Pivot Tables'!$D$123:$D$129</definedName>
    <definedName name="_xlchart.v2.1" hidden="1">'Pivot Tables'!$E$122</definedName>
    <definedName name="_xlchart.v2.2" hidden="1">'Pivot Tables'!$E$123:$E$129</definedName>
    <definedName name="Slicer_Department">#N/A</definedName>
    <definedName name="Slicer_Doctor_Name">#N/A</definedName>
    <definedName name="Slicer_Gender">#N/A</definedName>
    <definedName name="Slicer_Treatment_Type">#N/A</definedName>
  </definedNames>
  <calcPr calcId="191028"/>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29" i="5" l="1"/>
  <c r="E124" i="5"/>
  <c r="E125" i="5"/>
  <c r="E126" i="5"/>
  <c r="E127" i="5"/>
  <c r="E128" i="5"/>
  <c r="E123" i="5"/>
  <c r="K402" i="2"/>
  <c r="I402" i="2"/>
  <c r="C4" i="5"/>
  <c r="E113" i="5"/>
  <c r="E114" i="5"/>
  <c r="E115" i="5"/>
  <c r="E116" i="5"/>
  <c r="E117" i="5"/>
  <c r="E118" i="5"/>
  <c r="E112" i="5"/>
  <c r="C11" i="5"/>
  <c r="C12" i="5"/>
  <c r="C13" i="5"/>
  <c r="C14" i="5"/>
  <c r="E101" i="5"/>
  <c r="E102" i="5"/>
  <c r="E103" i="5"/>
  <c r="E104" i="5"/>
  <c r="E105" i="5"/>
  <c r="E106" i="5"/>
  <c r="E100" i="5"/>
  <c r="E88" i="5"/>
  <c r="E89" i="5"/>
  <c r="E90" i="5"/>
  <c r="E91" i="5"/>
  <c r="E92" i="5"/>
  <c r="E93" i="5"/>
  <c r="E87" i="5"/>
  <c r="E75" i="5"/>
  <c r="E76" i="5"/>
  <c r="E77" i="5"/>
  <c r="E78" i="5"/>
  <c r="E79" i="5"/>
  <c r="E80" i="5"/>
  <c r="E74" i="5"/>
  <c r="E60" i="5"/>
  <c r="E61" i="5"/>
  <c r="E62" i="5"/>
  <c r="E63" i="5"/>
  <c r="E64" i="5"/>
  <c r="E65" i="5"/>
  <c r="E66" i="5"/>
  <c r="E67" i="5"/>
  <c r="E68" i="5"/>
  <c r="E59" i="5"/>
  <c r="E52" i="5"/>
  <c r="E44" i="5"/>
  <c r="E45" i="5"/>
  <c r="E46" i="5"/>
  <c r="E47" i="5"/>
  <c r="E48" i="5"/>
  <c r="E49" i="5"/>
  <c r="E50" i="5"/>
  <c r="E51" i="5"/>
  <c r="E43" i="5"/>
  <c r="E36" i="5"/>
  <c r="E37" i="5"/>
  <c r="E35" i="5"/>
  <c r="E27" i="5"/>
  <c r="E28" i="5"/>
  <c r="E29" i="5"/>
  <c r="E26" i="5"/>
</calcChain>
</file>

<file path=xl/sharedStrings.xml><?xml version="1.0" encoding="utf-8"?>
<sst xmlns="http://schemas.openxmlformats.org/spreadsheetml/2006/main" count="5801" uniqueCount="462">
  <si>
    <t>Patient ID</t>
  </si>
  <si>
    <t>Department</t>
  </si>
  <si>
    <t>Treatment Type</t>
  </si>
  <si>
    <t>Doctor Name</t>
  </si>
  <si>
    <t>Gender</t>
  </si>
  <si>
    <t>Age</t>
  </si>
  <si>
    <t>Treatment Cost</t>
  </si>
  <si>
    <t>Hospital Stay (Days)</t>
  </si>
  <si>
    <t>Recovery Score</t>
  </si>
  <si>
    <t>P1001</t>
  </si>
  <si>
    <t>Dermatology</t>
  </si>
  <si>
    <t>Surgery</t>
  </si>
  <si>
    <t>Dr. Smith</t>
  </si>
  <si>
    <t>Female</t>
  </si>
  <si>
    <t>P1002</t>
  </si>
  <si>
    <t>Cardiology</t>
  </si>
  <si>
    <t>Dr. Martinez</t>
  </si>
  <si>
    <t>Male</t>
  </si>
  <si>
    <t>P1003</t>
  </si>
  <si>
    <t>Oncology</t>
  </si>
  <si>
    <t>Dr. Rodriguez</t>
  </si>
  <si>
    <t>P1004</t>
  </si>
  <si>
    <t>Orthopedics</t>
  </si>
  <si>
    <t>Observation</t>
  </si>
  <si>
    <t>P1005</t>
  </si>
  <si>
    <t>Pediatrics</t>
  </si>
  <si>
    <t>Therapy</t>
  </si>
  <si>
    <t>Dr. Jones</t>
  </si>
  <si>
    <t>P1006</t>
  </si>
  <si>
    <t>Dr. Garcia</t>
  </si>
  <si>
    <t>P1007</t>
  </si>
  <si>
    <t>Dr. Johnson</t>
  </si>
  <si>
    <t>P1008</t>
  </si>
  <si>
    <t>P1009</t>
  </si>
  <si>
    <t>Dr. Davis</t>
  </si>
  <si>
    <t>P1010</t>
  </si>
  <si>
    <t>P1011</t>
  </si>
  <si>
    <t>Other</t>
  </si>
  <si>
    <t>P1012</t>
  </si>
  <si>
    <t>P1013</t>
  </si>
  <si>
    <t>Medication</t>
  </si>
  <si>
    <t>P1014</t>
  </si>
  <si>
    <t>Dr. Williams</t>
  </si>
  <si>
    <t>P1015</t>
  </si>
  <si>
    <t>Neurology</t>
  </si>
  <si>
    <t>P1016</t>
  </si>
  <si>
    <t>P1017</t>
  </si>
  <si>
    <t>Dr. Miller</t>
  </si>
  <si>
    <t>P1018</t>
  </si>
  <si>
    <t>General Medicine</t>
  </si>
  <si>
    <t>P1019</t>
  </si>
  <si>
    <t>P1020</t>
  </si>
  <si>
    <t>P1021</t>
  </si>
  <si>
    <t>P1022</t>
  </si>
  <si>
    <t>P1023</t>
  </si>
  <si>
    <t>P1024</t>
  </si>
  <si>
    <t>P1025</t>
  </si>
  <si>
    <t>P1026</t>
  </si>
  <si>
    <t>P1027</t>
  </si>
  <si>
    <t>P1028</t>
  </si>
  <si>
    <t>Dr. Brown</t>
  </si>
  <si>
    <t>P1029</t>
  </si>
  <si>
    <t>P1030</t>
  </si>
  <si>
    <t>P1031</t>
  </si>
  <si>
    <t>P1032</t>
  </si>
  <si>
    <t>P1033</t>
  </si>
  <si>
    <t>P1034</t>
  </si>
  <si>
    <t>P1035</t>
  </si>
  <si>
    <t>P1036</t>
  </si>
  <si>
    <t>P1037</t>
  </si>
  <si>
    <t>P1038</t>
  </si>
  <si>
    <t>P1039</t>
  </si>
  <si>
    <t>P1040</t>
  </si>
  <si>
    <t>P1041</t>
  </si>
  <si>
    <t>P1042</t>
  </si>
  <si>
    <t>P1043</t>
  </si>
  <si>
    <t>P1044</t>
  </si>
  <si>
    <t>P1045</t>
  </si>
  <si>
    <t>P1046</t>
  </si>
  <si>
    <t>P1047</t>
  </si>
  <si>
    <t>P1048</t>
  </si>
  <si>
    <t>P1049</t>
  </si>
  <si>
    <t>P1050</t>
  </si>
  <si>
    <t>P1051</t>
  </si>
  <si>
    <t>P1052</t>
  </si>
  <si>
    <t>P1053</t>
  </si>
  <si>
    <t>P1054</t>
  </si>
  <si>
    <t>P1055</t>
  </si>
  <si>
    <t>P1056</t>
  </si>
  <si>
    <t>P1057</t>
  </si>
  <si>
    <t>P1058</t>
  </si>
  <si>
    <t>P1059</t>
  </si>
  <si>
    <t>P1060</t>
  </si>
  <si>
    <t>P1061</t>
  </si>
  <si>
    <t>P1062</t>
  </si>
  <si>
    <t>P1063</t>
  </si>
  <si>
    <t>P1064</t>
  </si>
  <si>
    <t>P1065</t>
  </si>
  <si>
    <t>P1066</t>
  </si>
  <si>
    <t>P1067</t>
  </si>
  <si>
    <t>P1068</t>
  </si>
  <si>
    <t>P1069</t>
  </si>
  <si>
    <t>P1070</t>
  </si>
  <si>
    <t>P1071</t>
  </si>
  <si>
    <t>P1072</t>
  </si>
  <si>
    <t>P1073</t>
  </si>
  <si>
    <t>P1074</t>
  </si>
  <si>
    <t>P1075</t>
  </si>
  <si>
    <t>P1076</t>
  </si>
  <si>
    <t>P1077</t>
  </si>
  <si>
    <t>P1078</t>
  </si>
  <si>
    <t>P1079</t>
  </si>
  <si>
    <t>P1080</t>
  </si>
  <si>
    <t>P1081</t>
  </si>
  <si>
    <t>P1082</t>
  </si>
  <si>
    <t>P1083</t>
  </si>
  <si>
    <t>P1084</t>
  </si>
  <si>
    <t>P1085</t>
  </si>
  <si>
    <t>P1086</t>
  </si>
  <si>
    <t>P1087</t>
  </si>
  <si>
    <t>P1088</t>
  </si>
  <si>
    <t>P1089</t>
  </si>
  <si>
    <t>P1090</t>
  </si>
  <si>
    <t>P1091</t>
  </si>
  <si>
    <t>P1092</t>
  </si>
  <si>
    <t>P1093</t>
  </si>
  <si>
    <t>P1094</t>
  </si>
  <si>
    <t>P1095</t>
  </si>
  <si>
    <t>P1096</t>
  </si>
  <si>
    <t>P1097</t>
  </si>
  <si>
    <t>P1098</t>
  </si>
  <si>
    <t>P1099</t>
  </si>
  <si>
    <t>P1100</t>
  </si>
  <si>
    <t>P1101</t>
  </si>
  <si>
    <t>P1102</t>
  </si>
  <si>
    <t>P1103</t>
  </si>
  <si>
    <t>P1104</t>
  </si>
  <si>
    <t>P1105</t>
  </si>
  <si>
    <t>P1106</t>
  </si>
  <si>
    <t>P1107</t>
  </si>
  <si>
    <t>P1108</t>
  </si>
  <si>
    <t>P1109</t>
  </si>
  <si>
    <t>P1110</t>
  </si>
  <si>
    <t>P1111</t>
  </si>
  <si>
    <t>P1112</t>
  </si>
  <si>
    <t>P1113</t>
  </si>
  <si>
    <t>P1114</t>
  </si>
  <si>
    <t>P1115</t>
  </si>
  <si>
    <t>P1116</t>
  </si>
  <si>
    <t>P1117</t>
  </si>
  <si>
    <t>P1118</t>
  </si>
  <si>
    <t>P1119</t>
  </si>
  <si>
    <t>P1120</t>
  </si>
  <si>
    <t>P1121</t>
  </si>
  <si>
    <t>P1122</t>
  </si>
  <si>
    <t>P1123</t>
  </si>
  <si>
    <t>P1124</t>
  </si>
  <si>
    <t>P1125</t>
  </si>
  <si>
    <t>P1126</t>
  </si>
  <si>
    <t>P1127</t>
  </si>
  <si>
    <t>P1128</t>
  </si>
  <si>
    <t>P1129</t>
  </si>
  <si>
    <t>P1130</t>
  </si>
  <si>
    <t>P1131</t>
  </si>
  <si>
    <t>P1132</t>
  </si>
  <si>
    <t>P1133</t>
  </si>
  <si>
    <t>P1134</t>
  </si>
  <si>
    <t>P1135</t>
  </si>
  <si>
    <t>P1136</t>
  </si>
  <si>
    <t>P1137</t>
  </si>
  <si>
    <t>P1138</t>
  </si>
  <si>
    <t>P1139</t>
  </si>
  <si>
    <t>P1140</t>
  </si>
  <si>
    <t>P1141</t>
  </si>
  <si>
    <t>P1142</t>
  </si>
  <si>
    <t>P1143</t>
  </si>
  <si>
    <t>P1144</t>
  </si>
  <si>
    <t>P1145</t>
  </si>
  <si>
    <t>P1146</t>
  </si>
  <si>
    <t>P1147</t>
  </si>
  <si>
    <t>P1148</t>
  </si>
  <si>
    <t>P1149</t>
  </si>
  <si>
    <t>P1150</t>
  </si>
  <si>
    <t>P1151</t>
  </si>
  <si>
    <t>P1152</t>
  </si>
  <si>
    <t>P1153</t>
  </si>
  <si>
    <t>P1154</t>
  </si>
  <si>
    <t>P1155</t>
  </si>
  <si>
    <t>P1156</t>
  </si>
  <si>
    <t>P1157</t>
  </si>
  <si>
    <t>P1158</t>
  </si>
  <si>
    <t>P1159</t>
  </si>
  <si>
    <t>P1160</t>
  </si>
  <si>
    <t>P1161</t>
  </si>
  <si>
    <t>P1162</t>
  </si>
  <si>
    <t>P1163</t>
  </si>
  <si>
    <t>P1164</t>
  </si>
  <si>
    <t>P1165</t>
  </si>
  <si>
    <t>P1166</t>
  </si>
  <si>
    <t>P1167</t>
  </si>
  <si>
    <t>P1168</t>
  </si>
  <si>
    <t>P1169</t>
  </si>
  <si>
    <t>P1170</t>
  </si>
  <si>
    <t>P1171</t>
  </si>
  <si>
    <t>P1172</t>
  </si>
  <si>
    <t>P1173</t>
  </si>
  <si>
    <t>P1174</t>
  </si>
  <si>
    <t>P1175</t>
  </si>
  <si>
    <t>P1176</t>
  </si>
  <si>
    <t>P1177</t>
  </si>
  <si>
    <t>P1178</t>
  </si>
  <si>
    <t>P1179</t>
  </si>
  <si>
    <t>P1180</t>
  </si>
  <si>
    <t>P1181</t>
  </si>
  <si>
    <t>P1182</t>
  </si>
  <si>
    <t>P1183</t>
  </si>
  <si>
    <t>P1184</t>
  </si>
  <si>
    <t>P1185</t>
  </si>
  <si>
    <t>P1186</t>
  </si>
  <si>
    <t>P1187</t>
  </si>
  <si>
    <t>P1188</t>
  </si>
  <si>
    <t>P1189</t>
  </si>
  <si>
    <t>P1190</t>
  </si>
  <si>
    <t>P1191</t>
  </si>
  <si>
    <t>P1192</t>
  </si>
  <si>
    <t>P1193</t>
  </si>
  <si>
    <t>P1194</t>
  </si>
  <si>
    <t>P1195</t>
  </si>
  <si>
    <t>P1196</t>
  </si>
  <si>
    <t>P1197</t>
  </si>
  <si>
    <t>P1198</t>
  </si>
  <si>
    <t>P1199</t>
  </si>
  <si>
    <t>P1200</t>
  </si>
  <si>
    <t>P1201</t>
  </si>
  <si>
    <t>P1202</t>
  </si>
  <si>
    <t>P1203</t>
  </si>
  <si>
    <t>P1204</t>
  </si>
  <si>
    <t>P1205</t>
  </si>
  <si>
    <t>P1206</t>
  </si>
  <si>
    <t>P1207</t>
  </si>
  <si>
    <t>P1208</t>
  </si>
  <si>
    <t>P1209</t>
  </si>
  <si>
    <t>P1210</t>
  </si>
  <si>
    <t>P1211</t>
  </si>
  <si>
    <t>P1212</t>
  </si>
  <si>
    <t>P1213</t>
  </si>
  <si>
    <t>P1214</t>
  </si>
  <si>
    <t>P1215</t>
  </si>
  <si>
    <t>P1216</t>
  </si>
  <si>
    <t>P1217</t>
  </si>
  <si>
    <t>P1218</t>
  </si>
  <si>
    <t>P1219</t>
  </si>
  <si>
    <t>P1220</t>
  </si>
  <si>
    <t>P1221</t>
  </si>
  <si>
    <t>P1222</t>
  </si>
  <si>
    <t>P1223</t>
  </si>
  <si>
    <t>P1224</t>
  </si>
  <si>
    <t>P1225</t>
  </si>
  <si>
    <t>P1226</t>
  </si>
  <si>
    <t>P1227</t>
  </si>
  <si>
    <t>P1228</t>
  </si>
  <si>
    <t>P1229</t>
  </si>
  <si>
    <t>P1230</t>
  </si>
  <si>
    <t>P1231</t>
  </si>
  <si>
    <t>P1232</t>
  </si>
  <si>
    <t>P1233</t>
  </si>
  <si>
    <t>P1234</t>
  </si>
  <si>
    <t>P1235</t>
  </si>
  <si>
    <t>P1236</t>
  </si>
  <si>
    <t>P1237</t>
  </si>
  <si>
    <t>P1238</t>
  </si>
  <si>
    <t>P1239</t>
  </si>
  <si>
    <t>P1240</t>
  </si>
  <si>
    <t>P1241</t>
  </si>
  <si>
    <t>P1242</t>
  </si>
  <si>
    <t>P1243</t>
  </si>
  <si>
    <t>P1244</t>
  </si>
  <si>
    <t>P1245</t>
  </si>
  <si>
    <t>P1246</t>
  </si>
  <si>
    <t>P1247</t>
  </si>
  <si>
    <t>P1248</t>
  </si>
  <si>
    <t>P1249</t>
  </si>
  <si>
    <t>P1250</t>
  </si>
  <si>
    <t>P1251</t>
  </si>
  <si>
    <t>P1252</t>
  </si>
  <si>
    <t>P1253</t>
  </si>
  <si>
    <t>P1254</t>
  </si>
  <si>
    <t>P1255</t>
  </si>
  <si>
    <t>P1256</t>
  </si>
  <si>
    <t>P1257</t>
  </si>
  <si>
    <t>P1258</t>
  </si>
  <si>
    <t>P1259</t>
  </si>
  <si>
    <t>P1260</t>
  </si>
  <si>
    <t>P1261</t>
  </si>
  <si>
    <t>P1262</t>
  </si>
  <si>
    <t>P1263</t>
  </si>
  <si>
    <t>P1264</t>
  </si>
  <si>
    <t>P1265</t>
  </si>
  <si>
    <t>P1266</t>
  </si>
  <si>
    <t>P1267</t>
  </si>
  <si>
    <t>P1268</t>
  </si>
  <si>
    <t>P1269</t>
  </si>
  <si>
    <t>P1270</t>
  </si>
  <si>
    <t>P1271</t>
  </si>
  <si>
    <t>P1272</t>
  </si>
  <si>
    <t>P1273</t>
  </si>
  <si>
    <t>P1274</t>
  </si>
  <si>
    <t>P1275</t>
  </si>
  <si>
    <t>P1276</t>
  </si>
  <si>
    <t>P1277</t>
  </si>
  <si>
    <t>P1278</t>
  </si>
  <si>
    <t>P1279</t>
  </si>
  <si>
    <t>P1280</t>
  </si>
  <si>
    <t>P1281</t>
  </si>
  <si>
    <t>P1282</t>
  </si>
  <si>
    <t>P1283</t>
  </si>
  <si>
    <t>P1284</t>
  </si>
  <si>
    <t>P1285</t>
  </si>
  <si>
    <t>P1286</t>
  </si>
  <si>
    <t>P1287</t>
  </si>
  <si>
    <t>P1288</t>
  </si>
  <si>
    <t>P1289</t>
  </si>
  <si>
    <t>P1290</t>
  </si>
  <si>
    <t>P1291</t>
  </si>
  <si>
    <t>P1292</t>
  </si>
  <si>
    <t>P1293</t>
  </si>
  <si>
    <t>P1294</t>
  </si>
  <si>
    <t>P1295</t>
  </si>
  <si>
    <t>P1296</t>
  </si>
  <si>
    <t>P1297</t>
  </si>
  <si>
    <t>P1298</t>
  </si>
  <si>
    <t>P1299</t>
  </si>
  <si>
    <t>P1300</t>
  </si>
  <si>
    <t>P1301</t>
  </si>
  <si>
    <t>P1302</t>
  </si>
  <si>
    <t>P1303</t>
  </si>
  <si>
    <t>P1304</t>
  </si>
  <si>
    <t>P1305</t>
  </si>
  <si>
    <t>P1306</t>
  </si>
  <si>
    <t>P1307</t>
  </si>
  <si>
    <t>P1308</t>
  </si>
  <si>
    <t>P1309</t>
  </si>
  <si>
    <t>P1310</t>
  </si>
  <si>
    <t>P1311</t>
  </si>
  <si>
    <t>P1312</t>
  </si>
  <si>
    <t>P1313</t>
  </si>
  <si>
    <t>P1314</t>
  </si>
  <si>
    <t>P1315</t>
  </si>
  <si>
    <t>P1316</t>
  </si>
  <si>
    <t>P1317</t>
  </si>
  <si>
    <t>P1318</t>
  </si>
  <si>
    <t>P1319</t>
  </si>
  <si>
    <t>P1320</t>
  </si>
  <si>
    <t>P1321</t>
  </si>
  <si>
    <t>P1322</t>
  </si>
  <si>
    <t>P1323</t>
  </si>
  <si>
    <t>P1324</t>
  </si>
  <si>
    <t>P1325</t>
  </si>
  <si>
    <t>P1326</t>
  </si>
  <si>
    <t>P1327</t>
  </si>
  <si>
    <t>P1328</t>
  </si>
  <si>
    <t>P1329</t>
  </si>
  <si>
    <t>P1330</t>
  </si>
  <si>
    <t>P1331</t>
  </si>
  <si>
    <t>P1332</t>
  </si>
  <si>
    <t>P1333</t>
  </si>
  <si>
    <t>P1334</t>
  </si>
  <si>
    <t>P1335</t>
  </si>
  <si>
    <t>P1336</t>
  </si>
  <si>
    <t>P1337</t>
  </si>
  <si>
    <t>P1338</t>
  </si>
  <si>
    <t>P1339</t>
  </si>
  <si>
    <t>P1340</t>
  </si>
  <si>
    <t>P1341</t>
  </si>
  <si>
    <t>P1342</t>
  </si>
  <si>
    <t>P1343</t>
  </si>
  <si>
    <t>P1344</t>
  </si>
  <si>
    <t>P1345</t>
  </si>
  <si>
    <t>P1346</t>
  </si>
  <si>
    <t>P1347</t>
  </si>
  <si>
    <t>P1348</t>
  </si>
  <si>
    <t>P1349</t>
  </si>
  <si>
    <t>P1350</t>
  </si>
  <si>
    <t>P1351</t>
  </si>
  <si>
    <t>P1352</t>
  </si>
  <si>
    <t>P1353</t>
  </si>
  <si>
    <t>P1354</t>
  </si>
  <si>
    <t>P1355</t>
  </si>
  <si>
    <t>P1356</t>
  </si>
  <si>
    <t>P1357</t>
  </si>
  <si>
    <t>P1358</t>
  </si>
  <si>
    <t>P1359</t>
  </si>
  <si>
    <t>P1360</t>
  </si>
  <si>
    <t>P1361</t>
  </si>
  <si>
    <t>P1362</t>
  </si>
  <si>
    <t>P1363</t>
  </si>
  <si>
    <t>P1364</t>
  </si>
  <si>
    <t>P1365</t>
  </si>
  <si>
    <t>P1366</t>
  </si>
  <si>
    <t>P1367</t>
  </si>
  <si>
    <t>P1368</t>
  </si>
  <si>
    <t>P1369</t>
  </si>
  <si>
    <t>P1370</t>
  </si>
  <si>
    <t>P1371</t>
  </si>
  <si>
    <t>P1372</t>
  </si>
  <si>
    <t>P1373</t>
  </si>
  <si>
    <t>P1374</t>
  </si>
  <si>
    <t>P1375</t>
  </si>
  <si>
    <t>P1376</t>
  </si>
  <si>
    <t>P1377</t>
  </si>
  <si>
    <t>P1378</t>
  </si>
  <si>
    <t>P1379</t>
  </si>
  <si>
    <t>P1380</t>
  </si>
  <si>
    <t>P1381</t>
  </si>
  <si>
    <t>P1382</t>
  </si>
  <si>
    <t>P1383</t>
  </si>
  <si>
    <t>P1384</t>
  </si>
  <si>
    <t>P1385</t>
  </si>
  <si>
    <t>P1386</t>
  </si>
  <si>
    <t>P1387</t>
  </si>
  <si>
    <t>P1388</t>
  </si>
  <si>
    <t>P1389</t>
  </si>
  <si>
    <t>P1390</t>
  </si>
  <si>
    <t>P1391</t>
  </si>
  <si>
    <t>P1392</t>
  </si>
  <si>
    <t>P1393</t>
  </si>
  <si>
    <t>P1394</t>
  </si>
  <si>
    <t>P1395</t>
  </si>
  <si>
    <t>P1396</t>
  </si>
  <si>
    <t>P1397</t>
  </si>
  <si>
    <t>P1398</t>
  </si>
  <si>
    <t>P1399</t>
  </si>
  <si>
    <t>P1400</t>
  </si>
  <si>
    <t>Age Band</t>
  </si>
  <si>
    <t>Treatment Cost Band</t>
  </si>
  <si>
    <t>Hospital Stay Band</t>
  </si>
  <si>
    <t>Recovery Score Range</t>
  </si>
  <si>
    <t>Adult</t>
  </si>
  <si>
    <t>Low</t>
  </si>
  <si>
    <t>Long Stay</t>
  </si>
  <si>
    <t>High Score</t>
  </si>
  <si>
    <t>Infant</t>
  </si>
  <si>
    <t>Moderate Sore</t>
  </si>
  <si>
    <t>Elderly</t>
  </si>
  <si>
    <t>Medium</t>
  </si>
  <si>
    <t>Extended Stay</t>
  </si>
  <si>
    <t>Short Stay</t>
  </si>
  <si>
    <t>Medium Stay</t>
  </si>
  <si>
    <t>Child</t>
  </si>
  <si>
    <t>Middle Age</t>
  </si>
  <si>
    <t>Youth</t>
  </si>
  <si>
    <t>Teenager</t>
  </si>
  <si>
    <t>Values</t>
  </si>
  <si>
    <t>Count of Patient ID</t>
  </si>
  <si>
    <t>Sum of Treatment Cost</t>
  </si>
  <si>
    <t>Average of Hospital Stay (Days)</t>
  </si>
  <si>
    <t>Row Labels</t>
  </si>
  <si>
    <t>Count of Treatment Type</t>
  </si>
  <si>
    <t>Treatment %</t>
  </si>
  <si>
    <t>Grand Total</t>
  </si>
  <si>
    <t>Sum of Recovery Score</t>
  </si>
  <si>
    <t>Sum of Hospital Stay (Days)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</si>
</sst>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_(&quot;$&quot;* #,##0_);_(&quot;$&quot;* \(#,##0\);_(&quot;$&quot;* &quot;-&quot;??_);_(@_)"/>
    <numFmt numFmtId="165" formatCode="_(&quot;$&quot;* #,##0.000_);_(&quot;$&quot;* \(#,##0.000\);_(&quot;$&quot;* &quot;-&quot;??_);_(@_)"/>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3">
    <border>
      <left/>
      <right/>
      <top/>
      <bottom/>
      <diagonal/>
    </border>
    <border>
      <left/>
      <right/>
      <top style="thin">
        <color theme="5"/>
      </top>
      <bottom/>
      <diagonal/>
    </border>
    <border>
      <left/>
      <right/>
      <top/>
      <bottom style="thin">
        <color theme="4" tint="0.39997558519241921"/>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12">
    <xf numFmtId="0" fontId="0" fillId="0" borderId="0" xfId="0"/>
    <xf numFmtId="1" fontId="0" fillId="0" borderId="0" xfId="0" applyNumberFormat="1"/>
    <xf numFmtId="0" fontId="2" fillId="2" borderId="2" xfId="0" applyFont="1" applyFill="1" applyBorder="1"/>
    <xf numFmtId="0" fontId="0" fillId="0" borderId="0" xfId="0" pivotButton="1"/>
    <xf numFmtId="0" fontId="0" fillId="0" borderId="0" xfId="0" applyAlignment="1">
      <alignment horizontal="left"/>
    </xf>
    <xf numFmtId="164" fontId="0" fillId="0" borderId="0" xfId="1" applyNumberFormat="1" applyFont="1"/>
    <xf numFmtId="44" fontId="0" fillId="0" borderId="0" xfId="0" applyNumberFormat="1"/>
    <xf numFmtId="9" fontId="0" fillId="0" borderId="0" xfId="2" applyFont="1"/>
    <xf numFmtId="165" fontId="0" fillId="0" borderId="0" xfId="0" applyNumberFormat="1"/>
    <xf numFmtId="164" fontId="0" fillId="0" borderId="0" xfId="0" applyNumberFormat="1"/>
    <xf numFmtId="164" fontId="0" fillId="0" borderId="1" xfId="1" applyNumberFormat="1" applyFont="1" applyBorder="1"/>
    <xf numFmtId="2" fontId="0" fillId="0" borderId="0" xfId="0" applyNumberFormat="1"/>
  </cellXfs>
  <cellStyles count="3">
    <cellStyle name="Currency" xfId="1" builtinId="4"/>
    <cellStyle name="Normal" xfId="0" builtinId="0"/>
    <cellStyle name="Percent" xfId="2" builtinId="5"/>
  </cellStyles>
  <dxfs count="13">
    <dxf>
      <numFmt numFmtId="34" formatCode="_(&quot;$&quot;* #,##0.00_);_(&quot;$&quot;* \(#,##0.00\);_(&quot;$&quot;* &quot;-&quot;??_);_(@_)"/>
    </dxf>
    <dxf>
      <numFmt numFmtId="2" formatCode="0.00"/>
    </dxf>
    <dxf>
      <numFmt numFmtId="166" formatCode="0.0"/>
    </dxf>
    <dxf>
      <numFmt numFmtId="1" formatCode="0"/>
    </dxf>
    <dxf>
      <numFmt numFmtId="1" formatCode="0"/>
    </dxf>
    <dxf>
      <numFmt numFmtId="1" formatCode="0"/>
    </dxf>
    <dxf>
      <numFmt numFmtId="1" formatCode="0"/>
    </dxf>
    <dxf>
      <font>
        <b val="0"/>
        <i val="0"/>
        <strike val="0"/>
        <condense val="0"/>
        <extend val="0"/>
        <outline val="0"/>
        <shadow val="0"/>
        <u val="none"/>
        <vertAlign val="baseline"/>
        <sz val="11"/>
        <color theme="1"/>
        <name val="Calibri"/>
        <family val="2"/>
        <scheme val="minor"/>
      </font>
      <numFmt numFmtId="164" formatCode="_(&quot;$&quot;* #,##0_);_(&quot;$&quot;* \(#,##0\);_(&quot;$&quot;* &quot;-&quot;??_);_(@_)"/>
    </dxf>
    <dxf>
      <numFmt numFmtId="164" formatCode="_(&quot;$&quot;* #,##0_);_(&quot;$&quot;* \(#,##0\);_(&quot;$&quot;* &quot;-&quot;??_);_(@_)"/>
    </dxf>
    <dxf>
      <numFmt numFmtId="1" formatCode="0"/>
    </dxf>
    <dxf>
      <numFmt numFmtId="1" formatCode="0"/>
    </dxf>
    <dxf>
      <numFmt numFmtId="1" formatCode="0"/>
    </dxf>
    <dxf>
      <numFmt numFmtId="1" formatCode="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9247594050743664E-2"/>
          <c:y val="5.0925925925925923E-2"/>
          <c:w val="0.71349759405074364"/>
          <c:h val="0.8416746864975212"/>
        </c:manualLayout>
      </c:layout>
      <c:barChart>
        <c:barDir val="col"/>
        <c:grouping val="clustered"/>
        <c:varyColors val="0"/>
        <c:ser>
          <c:idx val="0"/>
          <c:order val="0"/>
          <c:tx>
            <c:strRef>
              <c:f>'Pivot Tables'!$D$74</c:f>
              <c:strCache>
                <c:ptCount val="1"/>
                <c:pt idx="0">
                  <c:v>Adult</c:v>
                </c:pt>
              </c:strCache>
            </c:strRef>
          </c:tx>
          <c:spPr>
            <a:solidFill>
              <a:schemeClr val="accent1"/>
            </a:solidFill>
            <a:ln>
              <a:noFill/>
            </a:ln>
            <a:effectLst/>
          </c:spPr>
          <c:invertIfNegative val="0"/>
          <c:cat>
            <c:strRef>
              <c:f>'Pivot Tables'!$E$73</c:f>
              <c:strCache>
                <c:ptCount val="1"/>
                <c:pt idx="0">
                  <c:v>Sum of Hospital Stay (Days)</c:v>
                </c:pt>
              </c:strCache>
            </c:strRef>
          </c:cat>
          <c:val>
            <c:numRef>
              <c:f>'Pivot Tables'!$E$74</c:f>
              <c:numCache>
                <c:formatCode>0</c:formatCode>
                <c:ptCount val="1"/>
                <c:pt idx="0">
                  <c:v>341</c:v>
                </c:pt>
              </c:numCache>
            </c:numRef>
          </c:val>
          <c:extLst>
            <c:ext xmlns:c16="http://schemas.microsoft.com/office/drawing/2014/chart" uri="{C3380CC4-5D6E-409C-BE32-E72D297353CC}">
              <c16:uniqueId val="{00000000-8BBC-474C-BDDE-56E501A40D3C}"/>
            </c:ext>
          </c:extLst>
        </c:ser>
        <c:ser>
          <c:idx val="1"/>
          <c:order val="1"/>
          <c:tx>
            <c:strRef>
              <c:f>'Pivot Tables'!$D$75</c:f>
              <c:strCache>
                <c:ptCount val="1"/>
                <c:pt idx="0">
                  <c:v>Child</c:v>
                </c:pt>
              </c:strCache>
            </c:strRef>
          </c:tx>
          <c:spPr>
            <a:solidFill>
              <a:schemeClr val="accent2"/>
            </a:solidFill>
            <a:ln>
              <a:noFill/>
            </a:ln>
            <a:effectLst/>
          </c:spPr>
          <c:invertIfNegative val="0"/>
          <c:cat>
            <c:strRef>
              <c:f>'Pivot Tables'!$E$73</c:f>
              <c:strCache>
                <c:ptCount val="1"/>
                <c:pt idx="0">
                  <c:v>Sum of Hospital Stay (Days)</c:v>
                </c:pt>
              </c:strCache>
            </c:strRef>
          </c:cat>
          <c:val>
            <c:numRef>
              <c:f>'Pivot Tables'!$E$75</c:f>
              <c:numCache>
                <c:formatCode>0</c:formatCode>
                <c:ptCount val="1"/>
                <c:pt idx="0">
                  <c:v>244</c:v>
                </c:pt>
              </c:numCache>
            </c:numRef>
          </c:val>
          <c:extLst>
            <c:ext xmlns:c16="http://schemas.microsoft.com/office/drawing/2014/chart" uri="{C3380CC4-5D6E-409C-BE32-E72D297353CC}">
              <c16:uniqueId val="{00000001-8BBC-474C-BDDE-56E501A40D3C}"/>
            </c:ext>
          </c:extLst>
        </c:ser>
        <c:ser>
          <c:idx val="2"/>
          <c:order val="2"/>
          <c:tx>
            <c:strRef>
              <c:f>'Pivot Tables'!$D$76</c:f>
              <c:strCache>
                <c:ptCount val="1"/>
                <c:pt idx="0">
                  <c:v>Elderly</c:v>
                </c:pt>
              </c:strCache>
            </c:strRef>
          </c:tx>
          <c:spPr>
            <a:solidFill>
              <a:schemeClr val="accent3"/>
            </a:solidFill>
            <a:ln>
              <a:noFill/>
            </a:ln>
            <a:effectLst/>
          </c:spPr>
          <c:invertIfNegative val="0"/>
          <c:cat>
            <c:strRef>
              <c:f>'Pivot Tables'!$E$73</c:f>
              <c:strCache>
                <c:ptCount val="1"/>
                <c:pt idx="0">
                  <c:v>Sum of Hospital Stay (Days)</c:v>
                </c:pt>
              </c:strCache>
            </c:strRef>
          </c:cat>
          <c:val>
            <c:numRef>
              <c:f>'Pivot Tables'!$E$76</c:f>
              <c:numCache>
                <c:formatCode>0</c:formatCode>
                <c:ptCount val="1"/>
                <c:pt idx="0">
                  <c:v>665</c:v>
                </c:pt>
              </c:numCache>
            </c:numRef>
          </c:val>
          <c:extLst>
            <c:ext xmlns:c16="http://schemas.microsoft.com/office/drawing/2014/chart" uri="{C3380CC4-5D6E-409C-BE32-E72D297353CC}">
              <c16:uniqueId val="{00000002-8BBC-474C-BDDE-56E501A40D3C}"/>
            </c:ext>
          </c:extLst>
        </c:ser>
        <c:ser>
          <c:idx val="3"/>
          <c:order val="3"/>
          <c:tx>
            <c:strRef>
              <c:f>'Pivot Tables'!$D$77</c:f>
              <c:strCache>
                <c:ptCount val="1"/>
                <c:pt idx="0">
                  <c:v>Infant</c:v>
                </c:pt>
              </c:strCache>
            </c:strRef>
          </c:tx>
          <c:spPr>
            <a:solidFill>
              <a:schemeClr val="accent4"/>
            </a:solidFill>
            <a:ln>
              <a:noFill/>
            </a:ln>
            <a:effectLst/>
          </c:spPr>
          <c:invertIfNegative val="0"/>
          <c:cat>
            <c:strRef>
              <c:f>'Pivot Tables'!$E$73</c:f>
              <c:strCache>
                <c:ptCount val="1"/>
                <c:pt idx="0">
                  <c:v>Sum of Hospital Stay (Days)</c:v>
                </c:pt>
              </c:strCache>
            </c:strRef>
          </c:cat>
          <c:val>
            <c:numRef>
              <c:f>'Pivot Tables'!$E$77</c:f>
              <c:numCache>
                <c:formatCode>0</c:formatCode>
                <c:ptCount val="1"/>
                <c:pt idx="0">
                  <c:v>93</c:v>
                </c:pt>
              </c:numCache>
            </c:numRef>
          </c:val>
          <c:extLst>
            <c:ext xmlns:c16="http://schemas.microsoft.com/office/drawing/2014/chart" uri="{C3380CC4-5D6E-409C-BE32-E72D297353CC}">
              <c16:uniqueId val="{00000003-8BBC-474C-BDDE-56E501A40D3C}"/>
            </c:ext>
          </c:extLst>
        </c:ser>
        <c:ser>
          <c:idx val="4"/>
          <c:order val="4"/>
          <c:tx>
            <c:strRef>
              <c:f>'Pivot Tables'!$D$78</c:f>
              <c:strCache>
                <c:ptCount val="1"/>
                <c:pt idx="0">
                  <c:v>Middle Age</c:v>
                </c:pt>
              </c:strCache>
            </c:strRef>
          </c:tx>
          <c:spPr>
            <a:solidFill>
              <a:schemeClr val="accent5"/>
            </a:solidFill>
            <a:ln>
              <a:noFill/>
            </a:ln>
            <a:effectLst/>
          </c:spPr>
          <c:invertIfNegative val="0"/>
          <c:cat>
            <c:strRef>
              <c:f>'Pivot Tables'!$E$73</c:f>
              <c:strCache>
                <c:ptCount val="1"/>
                <c:pt idx="0">
                  <c:v>Sum of Hospital Stay (Days)</c:v>
                </c:pt>
              </c:strCache>
            </c:strRef>
          </c:cat>
          <c:val>
            <c:numRef>
              <c:f>'Pivot Tables'!$E$78</c:f>
              <c:numCache>
                <c:formatCode>0</c:formatCode>
                <c:ptCount val="1"/>
                <c:pt idx="0">
                  <c:v>417</c:v>
                </c:pt>
              </c:numCache>
            </c:numRef>
          </c:val>
          <c:extLst>
            <c:ext xmlns:c16="http://schemas.microsoft.com/office/drawing/2014/chart" uri="{C3380CC4-5D6E-409C-BE32-E72D297353CC}">
              <c16:uniqueId val="{00000004-8BBC-474C-BDDE-56E501A40D3C}"/>
            </c:ext>
          </c:extLst>
        </c:ser>
        <c:ser>
          <c:idx val="5"/>
          <c:order val="5"/>
          <c:tx>
            <c:strRef>
              <c:f>'Pivot Tables'!$D$79</c:f>
              <c:strCache>
                <c:ptCount val="1"/>
                <c:pt idx="0">
                  <c:v>Teenager</c:v>
                </c:pt>
              </c:strCache>
            </c:strRef>
          </c:tx>
          <c:spPr>
            <a:solidFill>
              <a:schemeClr val="accent6"/>
            </a:solidFill>
            <a:ln>
              <a:noFill/>
            </a:ln>
            <a:effectLst/>
          </c:spPr>
          <c:invertIfNegative val="0"/>
          <c:cat>
            <c:strRef>
              <c:f>'Pivot Tables'!$E$73</c:f>
              <c:strCache>
                <c:ptCount val="1"/>
                <c:pt idx="0">
                  <c:v>Sum of Hospital Stay (Days)</c:v>
                </c:pt>
              </c:strCache>
            </c:strRef>
          </c:cat>
          <c:val>
            <c:numRef>
              <c:f>'Pivot Tables'!$E$79</c:f>
              <c:numCache>
                <c:formatCode>0</c:formatCode>
                <c:ptCount val="1"/>
                <c:pt idx="0">
                  <c:v>177</c:v>
                </c:pt>
              </c:numCache>
            </c:numRef>
          </c:val>
          <c:extLst>
            <c:ext xmlns:c16="http://schemas.microsoft.com/office/drawing/2014/chart" uri="{C3380CC4-5D6E-409C-BE32-E72D297353CC}">
              <c16:uniqueId val="{00000005-8BBC-474C-BDDE-56E501A40D3C}"/>
            </c:ext>
          </c:extLst>
        </c:ser>
        <c:ser>
          <c:idx val="6"/>
          <c:order val="6"/>
          <c:tx>
            <c:strRef>
              <c:f>'Pivot Tables'!$D$80</c:f>
              <c:strCache>
                <c:ptCount val="1"/>
                <c:pt idx="0">
                  <c:v>Youth</c:v>
                </c:pt>
              </c:strCache>
            </c:strRef>
          </c:tx>
          <c:spPr>
            <a:solidFill>
              <a:schemeClr val="accent1">
                <a:lumMod val="60000"/>
              </a:schemeClr>
            </a:solidFill>
            <a:ln>
              <a:noFill/>
            </a:ln>
            <a:effectLst/>
          </c:spPr>
          <c:invertIfNegative val="0"/>
          <c:cat>
            <c:strRef>
              <c:f>'Pivot Tables'!$E$73</c:f>
              <c:strCache>
                <c:ptCount val="1"/>
                <c:pt idx="0">
                  <c:v>Sum of Hospital Stay (Days)</c:v>
                </c:pt>
              </c:strCache>
            </c:strRef>
          </c:cat>
          <c:val>
            <c:numRef>
              <c:f>'Pivot Tables'!$E$80</c:f>
              <c:numCache>
                <c:formatCode>0</c:formatCode>
                <c:ptCount val="1"/>
                <c:pt idx="0">
                  <c:v>204</c:v>
                </c:pt>
              </c:numCache>
            </c:numRef>
          </c:val>
          <c:extLst>
            <c:ext xmlns:c16="http://schemas.microsoft.com/office/drawing/2014/chart" uri="{C3380CC4-5D6E-409C-BE32-E72D297353CC}">
              <c16:uniqueId val="{00000006-8BBC-474C-BDDE-56E501A40D3C}"/>
            </c:ext>
          </c:extLst>
        </c:ser>
        <c:dLbls>
          <c:showLegendKey val="0"/>
          <c:showVal val="0"/>
          <c:showCatName val="0"/>
          <c:showSerName val="0"/>
          <c:showPercent val="0"/>
          <c:showBubbleSize val="0"/>
        </c:dLbls>
        <c:gapWidth val="219"/>
        <c:overlap val="-27"/>
        <c:axId val="252449759"/>
        <c:axId val="2076348879"/>
      </c:barChart>
      <c:catAx>
        <c:axId val="252449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6348879"/>
        <c:crosses val="autoZero"/>
        <c:auto val="1"/>
        <c:lblAlgn val="ctr"/>
        <c:lblOffset val="100"/>
        <c:noMultiLvlLbl val="0"/>
      </c:catAx>
      <c:valAx>
        <c:axId val="2076348879"/>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24497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'Pivot Tables'!$E$86</c:f>
              <c:strCache>
                <c:ptCount val="1"/>
                <c:pt idx="0">
                  <c:v>Sum of Recovery Score</c:v>
                </c:pt>
              </c:strCache>
            </c:strRef>
          </c:tx>
          <c:spPr>
            <a:solidFill>
              <a:schemeClr val="accent3"/>
            </a:solidFill>
            <a:ln>
              <a:noFill/>
            </a:ln>
            <a:effectLst/>
          </c:spPr>
          <c:invertIfNegative val="0"/>
          <c:cat>
            <c:strRef>
              <c:f>'Pivot Tables'!$D$87:$D$93</c:f>
              <c:strCache>
                <c:ptCount val="7"/>
                <c:pt idx="0">
                  <c:v>Adult</c:v>
                </c:pt>
                <c:pt idx="1">
                  <c:v>Child</c:v>
                </c:pt>
                <c:pt idx="2">
                  <c:v>Elderly</c:v>
                </c:pt>
                <c:pt idx="3">
                  <c:v>Infant</c:v>
                </c:pt>
                <c:pt idx="4">
                  <c:v>Middle Age</c:v>
                </c:pt>
                <c:pt idx="5">
                  <c:v>Teenager</c:v>
                </c:pt>
                <c:pt idx="6">
                  <c:v>Youth</c:v>
                </c:pt>
              </c:strCache>
            </c:strRef>
          </c:cat>
          <c:val>
            <c:numRef>
              <c:f>'Pivot Tables'!$E$87:$E$93</c:f>
              <c:numCache>
                <c:formatCode>General</c:formatCode>
                <c:ptCount val="7"/>
                <c:pt idx="0">
                  <c:v>5061</c:v>
                </c:pt>
                <c:pt idx="1">
                  <c:v>3193</c:v>
                </c:pt>
                <c:pt idx="2">
                  <c:v>9352</c:v>
                </c:pt>
                <c:pt idx="3">
                  <c:v>1262</c:v>
                </c:pt>
                <c:pt idx="4">
                  <c:v>6216</c:v>
                </c:pt>
                <c:pt idx="5">
                  <c:v>2218</c:v>
                </c:pt>
                <c:pt idx="6">
                  <c:v>2834</c:v>
                </c:pt>
              </c:numCache>
            </c:numRef>
          </c:val>
          <c:extLst>
            <c:ext xmlns:c16="http://schemas.microsoft.com/office/drawing/2014/chart" uri="{C3380CC4-5D6E-409C-BE32-E72D297353CC}">
              <c16:uniqueId val="{00000000-9B0F-4AF1-BF09-4C18C180F026}"/>
            </c:ext>
          </c:extLst>
        </c:ser>
        <c:dLbls>
          <c:showLegendKey val="0"/>
          <c:showVal val="0"/>
          <c:showCatName val="0"/>
          <c:showSerName val="0"/>
          <c:showPercent val="0"/>
          <c:showBubbleSize val="0"/>
        </c:dLbls>
        <c:gapWidth val="219"/>
        <c:overlap val="-27"/>
        <c:axId val="239662735"/>
        <c:axId val="1357290767"/>
      </c:barChart>
      <c:catAx>
        <c:axId val="239662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7290767"/>
        <c:crosses val="autoZero"/>
        <c:auto val="1"/>
        <c:lblAlgn val="ctr"/>
        <c:lblOffset val="100"/>
        <c:noMultiLvlLbl val="0"/>
      </c:catAx>
      <c:valAx>
        <c:axId val="13572907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966273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'Pivot Tables'!$D$100</c:f>
              <c:strCache>
                <c:ptCount val="1"/>
                <c:pt idx="0">
                  <c:v>Cardiology</c:v>
                </c:pt>
              </c:strCache>
            </c:strRef>
          </c:tx>
          <c:spPr>
            <a:solidFill>
              <a:schemeClr val="accent1"/>
            </a:solidFill>
            <a:ln>
              <a:noFill/>
            </a:ln>
            <a:effectLst/>
          </c:spPr>
          <c:invertIfNegative val="0"/>
          <c:cat>
            <c:strRef>
              <c:f>'Pivot Tables'!$E$99</c:f>
              <c:strCache>
                <c:ptCount val="1"/>
                <c:pt idx="0">
                  <c:v>Sum of Treatment Cost</c:v>
                </c:pt>
              </c:strCache>
            </c:strRef>
          </c:cat>
          <c:val>
            <c:numRef>
              <c:f>'Pivot Tables'!$E$100</c:f>
              <c:numCache>
                <c:formatCode>General</c:formatCode>
                <c:ptCount val="1"/>
                <c:pt idx="0">
                  <c:v>278496</c:v>
                </c:pt>
              </c:numCache>
            </c:numRef>
          </c:val>
          <c:extLst>
            <c:ext xmlns:c16="http://schemas.microsoft.com/office/drawing/2014/chart" uri="{C3380CC4-5D6E-409C-BE32-E72D297353CC}">
              <c16:uniqueId val="{00000000-7AEE-408B-8C1D-C33BB6917E21}"/>
            </c:ext>
          </c:extLst>
        </c:ser>
        <c:ser>
          <c:idx val="1"/>
          <c:order val="1"/>
          <c:tx>
            <c:strRef>
              <c:f>'Pivot Tables'!$D$101</c:f>
              <c:strCache>
                <c:ptCount val="1"/>
                <c:pt idx="0">
                  <c:v>Dermatology</c:v>
                </c:pt>
              </c:strCache>
            </c:strRef>
          </c:tx>
          <c:spPr>
            <a:solidFill>
              <a:schemeClr val="accent2"/>
            </a:solidFill>
            <a:ln>
              <a:noFill/>
            </a:ln>
            <a:effectLst/>
          </c:spPr>
          <c:invertIfNegative val="0"/>
          <c:cat>
            <c:strRef>
              <c:f>'Pivot Tables'!$E$99</c:f>
              <c:strCache>
                <c:ptCount val="1"/>
                <c:pt idx="0">
                  <c:v>Sum of Treatment Cost</c:v>
                </c:pt>
              </c:strCache>
            </c:strRef>
          </c:cat>
          <c:val>
            <c:numRef>
              <c:f>'Pivot Tables'!$E$101</c:f>
              <c:numCache>
                <c:formatCode>General</c:formatCode>
                <c:ptCount val="1"/>
                <c:pt idx="0">
                  <c:v>302621</c:v>
                </c:pt>
              </c:numCache>
            </c:numRef>
          </c:val>
          <c:extLst>
            <c:ext xmlns:c16="http://schemas.microsoft.com/office/drawing/2014/chart" uri="{C3380CC4-5D6E-409C-BE32-E72D297353CC}">
              <c16:uniqueId val="{00000001-7AEE-408B-8C1D-C33BB6917E21}"/>
            </c:ext>
          </c:extLst>
        </c:ser>
        <c:ser>
          <c:idx val="2"/>
          <c:order val="2"/>
          <c:tx>
            <c:strRef>
              <c:f>'Pivot Tables'!$D$102</c:f>
              <c:strCache>
                <c:ptCount val="1"/>
                <c:pt idx="0">
                  <c:v>General Medicine</c:v>
                </c:pt>
              </c:strCache>
            </c:strRef>
          </c:tx>
          <c:spPr>
            <a:solidFill>
              <a:schemeClr val="accent3"/>
            </a:solidFill>
            <a:ln>
              <a:noFill/>
            </a:ln>
            <a:effectLst/>
          </c:spPr>
          <c:invertIfNegative val="0"/>
          <c:cat>
            <c:strRef>
              <c:f>'Pivot Tables'!$E$99</c:f>
              <c:strCache>
                <c:ptCount val="1"/>
                <c:pt idx="0">
                  <c:v>Sum of Treatment Cost</c:v>
                </c:pt>
              </c:strCache>
            </c:strRef>
          </c:cat>
          <c:val>
            <c:numRef>
              <c:f>'Pivot Tables'!$E$102</c:f>
              <c:numCache>
                <c:formatCode>General</c:formatCode>
                <c:ptCount val="1"/>
                <c:pt idx="0">
                  <c:v>278499</c:v>
                </c:pt>
              </c:numCache>
            </c:numRef>
          </c:val>
          <c:extLst>
            <c:ext xmlns:c16="http://schemas.microsoft.com/office/drawing/2014/chart" uri="{C3380CC4-5D6E-409C-BE32-E72D297353CC}">
              <c16:uniqueId val="{00000002-7AEE-408B-8C1D-C33BB6917E21}"/>
            </c:ext>
          </c:extLst>
        </c:ser>
        <c:ser>
          <c:idx val="3"/>
          <c:order val="3"/>
          <c:tx>
            <c:strRef>
              <c:f>'Pivot Tables'!$D$103</c:f>
              <c:strCache>
                <c:ptCount val="1"/>
                <c:pt idx="0">
                  <c:v>Neurology</c:v>
                </c:pt>
              </c:strCache>
            </c:strRef>
          </c:tx>
          <c:spPr>
            <a:solidFill>
              <a:schemeClr val="accent4"/>
            </a:solidFill>
            <a:ln>
              <a:noFill/>
            </a:ln>
            <a:effectLst/>
          </c:spPr>
          <c:invertIfNegative val="0"/>
          <c:cat>
            <c:strRef>
              <c:f>'Pivot Tables'!$E$99</c:f>
              <c:strCache>
                <c:ptCount val="1"/>
                <c:pt idx="0">
                  <c:v>Sum of Treatment Cost</c:v>
                </c:pt>
              </c:strCache>
            </c:strRef>
          </c:cat>
          <c:val>
            <c:numRef>
              <c:f>'Pivot Tables'!$E$103</c:f>
              <c:numCache>
                <c:formatCode>General</c:formatCode>
                <c:ptCount val="1"/>
                <c:pt idx="0">
                  <c:v>290905</c:v>
                </c:pt>
              </c:numCache>
            </c:numRef>
          </c:val>
          <c:extLst>
            <c:ext xmlns:c16="http://schemas.microsoft.com/office/drawing/2014/chart" uri="{C3380CC4-5D6E-409C-BE32-E72D297353CC}">
              <c16:uniqueId val="{00000003-7AEE-408B-8C1D-C33BB6917E21}"/>
            </c:ext>
          </c:extLst>
        </c:ser>
        <c:ser>
          <c:idx val="4"/>
          <c:order val="4"/>
          <c:tx>
            <c:strRef>
              <c:f>'Pivot Tables'!$D$104</c:f>
              <c:strCache>
                <c:ptCount val="1"/>
                <c:pt idx="0">
                  <c:v>Oncology</c:v>
                </c:pt>
              </c:strCache>
            </c:strRef>
          </c:tx>
          <c:spPr>
            <a:solidFill>
              <a:schemeClr val="accent5"/>
            </a:solidFill>
            <a:ln>
              <a:noFill/>
            </a:ln>
            <a:effectLst/>
          </c:spPr>
          <c:invertIfNegative val="0"/>
          <c:cat>
            <c:strRef>
              <c:f>'Pivot Tables'!$E$99</c:f>
              <c:strCache>
                <c:ptCount val="1"/>
                <c:pt idx="0">
                  <c:v>Sum of Treatment Cost</c:v>
                </c:pt>
              </c:strCache>
            </c:strRef>
          </c:cat>
          <c:val>
            <c:numRef>
              <c:f>'Pivot Tables'!$E$104</c:f>
              <c:numCache>
                <c:formatCode>General</c:formatCode>
                <c:ptCount val="1"/>
                <c:pt idx="0">
                  <c:v>274135</c:v>
                </c:pt>
              </c:numCache>
            </c:numRef>
          </c:val>
          <c:extLst>
            <c:ext xmlns:c16="http://schemas.microsoft.com/office/drawing/2014/chart" uri="{C3380CC4-5D6E-409C-BE32-E72D297353CC}">
              <c16:uniqueId val="{00000004-7AEE-408B-8C1D-C33BB6917E21}"/>
            </c:ext>
          </c:extLst>
        </c:ser>
        <c:ser>
          <c:idx val="5"/>
          <c:order val="5"/>
          <c:tx>
            <c:strRef>
              <c:f>'Pivot Tables'!$D$105</c:f>
              <c:strCache>
                <c:ptCount val="1"/>
                <c:pt idx="0">
                  <c:v>Orthopedics</c:v>
                </c:pt>
              </c:strCache>
            </c:strRef>
          </c:tx>
          <c:spPr>
            <a:solidFill>
              <a:schemeClr val="accent6"/>
            </a:solidFill>
            <a:ln>
              <a:noFill/>
            </a:ln>
            <a:effectLst/>
          </c:spPr>
          <c:invertIfNegative val="0"/>
          <c:cat>
            <c:strRef>
              <c:f>'Pivot Tables'!$E$99</c:f>
              <c:strCache>
                <c:ptCount val="1"/>
                <c:pt idx="0">
                  <c:v>Sum of Treatment Cost</c:v>
                </c:pt>
              </c:strCache>
            </c:strRef>
          </c:cat>
          <c:val>
            <c:numRef>
              <c:f>'Pivot Tables'!$E$105</c:f>
              <c:numCache>
                <c:formatCode>General</c:formatCode>
                <c:ptCount val="1"/>
                <c:pt idx="0">
                  <c:v>266291</c:v>
                </c:pt>
              </c:numCache>
            </c:numRef>
          </c:val>
          <c:extLst>
            <c:ext xmlns:c16="http://schemas.microsoft.com/office/drawing/2014/chart" uri="{C3380CC4-5D6E-409C-BE32-E72D297353CC}">
              <c16:uniqueId val="{00000005-7AEE-408B-8C1D-C33BB6917E21}"/>
            </c:ext>
          </c:extLst>
        </c:ser>
        <c:ser>
          <c:idx val="6"/>
          <c:order val="6"/>
          <c:tx>
            <c:strRef>
              <c:f>'Pivot Tables'!$D$106</c:f>
              <c:strCache>
                <c:ptCount val="1"/>
                <c:pt idx="0">
                  <c:v>Pediatrics</c:v>
                </c:pt>
              </c:strCache>
            </c:strRef>
          </c:tx>
          <c:spPr>
            <a:solidFill>
              <a:schemeClr val="accent1">
                <a:lumMod val="60000"/>
              </a:schemeClr>
            </a:solidFill>
            <a:ln>
              <a:noFill/>
            </a:ln>
            <a:effectLst/>
          </c:spPr>
          <c:invertIfNegative val="0"/>
          <c:cat>
            <c:strRef>
              <c:f>'Pivot Tables'!$E$99</c:f>
              <c:strCache>
                <c:ptCount val="1"/>
                <c:pt idx="0">
                  <c:v>Sum of Treatment Cost</c:v>
                </c:pt>
              </c:strCache>
            </c:strRef>
          </c:cat>
          <c:val>
            <c:numRef>
              <c:f>'Pivot Tables'!$E$106</c:f>
              <c:numCache>
                <c:formatCode>General</c:formatCode>
                <c:ptCount val="1"/>
                <c:pt idx="0">
                  <c:v>329663</c:v>
                </c:pt>
              </c:numCache>
            </c:numRef>
          </c:val>
          <c:extLst>
            <c:ext xmlns:c16="http://schemas.microsoft.com/office/drawing/2014/chart" uri="{C3380CC4-5D6E-409C-BE32-E72D297353CC}">
              <c16:uniqueId val="{00000006-7AEE-408B-8C1D-C33BB6917E21}"/>
            </c:ext>
          </c:extLst>
        </c:ser>
        <c:dLbls>
          <c:showLegendKey val="0"/>
          <c:showVal val="0"/>
          <c:showCatName val="0"/>
          <c:showSerName val="0"/>
          <c:showPercent val="0"/>
          <c:showBubbleSize val="0"/>
        </c:dLbls>
        <c:gapWidth val="219"/>
        <c:overlap val="-27"/>
        <c:axId val="239864111"/>
        <c:axId val="2076399279"/>
      </c:barChart>
      <c:catAx>
        <c:axId val="239864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6399279"/>
        <c:crosses val="autoZero"/>
        <c:auto val="1"/>
        <c:lblAlgn val="ctr"/>
        <c:lblOffset val="100"/>
        <c:noMultiLvlLbl val="0"/>
      </c:catAx>
      <c:valAx>
        <c:axId val="20763992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986411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'Pivot Tables'!$E$111</c:f>
              <c:strCache>
                <c:ptCount val="1"/>
                <c:pt idx="0">
                  <c:v>Count of Patient ID</c:v>
                </c:pt>
              </c:strCache>
            </c:strRef>
          </c:tx>
          <c:spPr>
            <a:solidFill>
              <a:schemeClr val="accent1"/>
            </a:solidFill>
            <a:ln>
              <a:noFill/>
            </a:ln>
            <a:effectLst/>
          </c:spPr>
          <c:invertIfNegative val="0"/>
          <c:dPt>
            <c:idx val="0"/>
            <c:invertIfNegative val="0"/>
            <c:bubble3D val="0"/>
            <c:spPr>
              <a:solidFill>
                <a:schemeClr val="accent3"/>
              </a:solidFill>
              <a:ln>
                <a:noFill/>
              </a:ln>
              <a:effectLst/>
            </c:spPr>
            <c:extLst>
              <c:ext xmlns:c16="http://schemas.microsoft.com/office/drawing/2014/chart" uri="{C3380CC4-5D6E-409C-BE32-E72D297353CC}">
                <c16:uniqueId val="{00000001-97C3-4A5B-A445-C40F7365C0EC}"/>
              </c:ext>
            </c:extLst>
          </c:dPt>
          <c:dPt>
            <c:idx val="1"/>
            <c:invertIfNegative val="0"/>
            <c:bubble3D val="0"/>
            <c:spPr>
              <a:solidFill>
                <a:schemeClr val="accent3"/>
              </a:solidFill>
              <a:ln>
                <a:noFill/>
              </a:ln>
              <a:effectLst/>
            </c:spPr>
            <c:extLst>
              <c:ext xmlns:c16="http://schemas.microsoft.com/office/drawing/2014/chart" uri="{C3380CC4-5D6E-409C-BE32-E72D297353CC}">
                <c16:uniqueId val="{00000003-97C3-4A5B-A445-C40F7365C0EC}"/>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97C3-4A5B-A445-C40F7365C0EC}"/>
              </c:ext>
            </c:extLst>
          </c:dPt>
          <c:dPt>
            <c:idx val="3"/>
            <c:invertIfNegative val="0"/>
            <c:bubble3D val="0"/>
            <c:spPr>
              <a:solidFill>
                <a:schemeClr val="accent3"/>
              </a:solidFill>
              <a:ln>
                <a:noFill/>
              </a:ln>
              <a:effectLst/>
            </c:spPr>
            <c:extLst>
              <c:ext xmlns:c16="http://schemas.microsoft.com/office/drawing/2014/chart" uri="{C3380CC4-5D6E-409C-BE32-E72D297353CC}">
                <c16:uniqueId val="{00000007-97C3-4A5B-A445-C40F7365C0EC}"/>
              </c:ext>
            </c:extLst>
          </c:dPt>
          <c:dPt>
            <c:idx val="4"/>
            <c:invertIfNegative val="0"/>
            <c:bubble3D val="0"/>
            <c:spPr>
              <a:solidFill>
                <a:schemeClr val="accent3"/>
              </a:solidFill>
              <a:ln>
                <a:noFill/>
              </a:ln>
              <a:effectLst/>
            </c:spPr>
            <c:extLst>
              <c:ext xmlns:c16="http://schemas.microsoft.com/office/drawing/2014/chart" uri="{C3380CC4-5D6E-409C-BE32-E72D297353CC}">
                <c16:uniqueId val="{00000009-97C3-4A5B-A445-C40F7365C0EC}"/>
              </c:ext>
            </c:extLst>
          </c:dPt>
          <c:dPt>
            <c:idx val="5"/>
            <c:invertIfNegative val="0"/>
            <c:bubble3D val="0"/>
            <c:spPr>
              <a:solidFill>
                <a:schemeClr val="accent3"/>
              </a:solidFill>
              <a:ln>
                <a:noFill/>
              </a:ln>
              <a:effectLst/>
            </c:spPr>
            <c:extLst>
              <c:ext xmlns:c16="http://schemas.microsoft.com/office/drawing/2014/chart" uri="{C3380CC4-5D6E-409C-BE32-E72D297353CC}">
                <c16:uniqueId val="{0000000B-97C3-4A5B-A445-C40F7365C0EC}"/>
              </c:ext>
            </c:extLst>
          </c:dPt>
          <c:dPt>
            <c:idx val="6"/>
            <c:invertIfNegative val="0"/>
            <c:bubble3D val="0"/>
            <c:spPr>
              <a:solidFill>
                <a:schemeClr val="accent3"/>
              </a:solidFill>
              <a:ln>
                <a:noFill/>
              </a:ln>
              <a:effectLst/>
            </c:spPr>
            <c:extLst>
              <c:ext xmlns:c16="http://schemas.microsoft.com/office/drawing/2014/chart" uri="{C3380CC4-5D6E-409C-BE32-E72D297353CC}">
                <c16:uniqueId val="{0000000D-97C3-4A5B-A445-C40F7365C0EC}"/>
              </c:ext>
            </c:extLst>
          </c:dPt>
          <c:cat>
            <c:strRef>
              <c:f>'Pivot Tables'!$D$112:$D$118</c:f>
              <c:strCache>
                <c:ptCount val="7"/>
                <c:pt idx="0">
                  <c:v>Cardiology</c:v>
                </c:pt>
                <c:pt idx="1">
                  <c:v>Dermatology</c:v>
                </c:pt>
                <c:pt idx="2">
                  <c:v>General Medicine</c:v>
                </c:pt>
                <c:pt idx="3">
                  <c:v>Neurology</c:v>
                </c:pt>
                <c:pt idx="4">
                  <c:v>Oncology</c:v>
                </c:pt>
                <c:pt idx="5">
                  <c:v>Orthopedics</c:v>
                </c:pt>
                <c:pt idx="6">
                  <c:v>Pediatrics</c:v>
                </c:pt>
              </c:strCache>
            </c:strRef>
          </c:cat>
          <c:val>
            <c:numRef>
              <c:f>'Pivot Tables'!$E$112:$E$118</c:f>
              <c:numCache>
                <c:formatCode>General</c:formatCode>
                <c:ptCount val="7"/>
                <c:pt idx="0">
                  <c:v>53</c:v>
                </c:pt>
                <c:pt idx="1">
                  <c:v>64</c:v>
                </c:pt>
                <c:pt idx="2">
                  <c:v>54</c:v>
                </c:pt>
                <c:pt idx="3">
                  <c:v>57</c:v>
                </c:pt>
                <c:pt idx="4">
                  <c:v>59</c:v>
                </c:pt>
                <c:pt idx="5">
                  <c:v>54</c:v>
                </c:pt>
                <c:pt idx="6">
                  <c:v>59</c:v>
                </c:pt>
              </c:numCache>
            </c:numRef>
          </c:val>
          <c:extLst>
            <c:ext xmlns:c16="http://schemas.microsoft.com/office/drawing/2014/chart" uri="{C3380CC4-5D6E-409C-BE32-E72D297353CC}">
              <c16:uniqueId val="{0000000E-97C3-4A5B-A445-C40F7365C0EC}"/>
            </c:ext>
          </c:extLst>
        </c:ser>
        <c:dLbls>
          <c:showLegendKey val="0"/>
          <c:showVal val="0"/>
          <c:showCatName val="0"/>
          <c:showSerName val="0"/>
          <c:showPercent val="0"/>
          <c:showBubbleSize val="0"/>
        </c:dLbls>
        <c:gapWidth val="219"/>
        <c:overlap val="-27"/>
        <c:axId val="137512575"/>
        <c:axId val="2076370479"/>
      </c:barChart>
      <c:catAx>
        <c:axId val="137512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6370479"/>
        <c:crosses val="autoZero"/>
        <c:auto val="1"/>
        <c:lblAlgn val="ctr"/>
        <c:lblOffset val="100"/>
        <c:noMultiLvlLbl val="0"/>
      </c:catAx>
      <c:valAx>
        <c:axId val="20763704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512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014A9CA5-65ED-4EAD-A2A6-4D14B86A9A74}">
          <cx:tx>
            <cx:txData>
              <cx:f>_xlchart.v2.1</cx:f>
              <cx:v>Average of Hospital Stay (Days)</cx:v>
            </cx:txData>
          </cx:tx>
          <cx:data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visibility seriesName="0" categoryName="0" value="1"/>
          </cx:dataLabels>
          <cx:dataId val="0"/>
        </cx:series>
      </cx:plotAreaRegion>
      <cx:axis id="0">
        <cx:catScaling gapWidth="0.0599999987"/>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6" Type="http://schemas.microsoft.com/office/2014/relationships/chartEx" Target="../charts/chartEx1.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13</xdr:col>
      <xdr:colOff>571500</xdr:colOff>
      <xdr:row>4</xdr:row>
      <xdr:rowOff>4761</xdr:rowOff>
    </xdr:from>
    <xdr:to>
      <xdr:col>19</xdr:col>
      <xdr:colOff>111975</xdr:colOff>
      <xdr:row>13</xdr:row>
      <xdr:rowOff>42862</xdr:rowOff>
    </xdr:to>
    <xdr:sp macro="" textlink="">
      <xdr:nvSpPr>
        <xdr:cNvPr id="3" name="Rectangle: Rounded Corners 2">
          <a:extLst>
            <a:ext uri="{FF2B5EF4-FFF2-40B4-BE49-F238E27FC236}">
              <a16:creationId xmlns:a16="http://schemas.microsoft.com/office/drawing/2014/main" id="{26265A04-F889-417F-AFC4-74BE59E17B68}"/>
            </a:ext>
          </a:extLst>
        </xdr:cNvPr>
        <xdr:cNvSpPr/>
      </xdr:nvSpPr>
      <xdr:spPr>
        <a:xfrm>
          <a:off x="15268575" y="728661"/>
          <a:ext cx="3426675" cy="1666876"/>
        </a:xfrm>
        <a:prstGeom prst="roundRect">
          <a:avLst>
            <a:gd name="adj" fmla="val 11376"/>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GB" sz="1200">
              <a:solidFill>
                <a:sysClr val="windowText" lastClr="000000"/>
              </a:solidFill>
            </a:rPr>
            <a:t>Age</a:t>
          </a:r>
          <a:r>
            <a:rPr lang="en-GB" sz="1200" baseline="0">
              <a:solidFill>
                <a:sysClr val="windowText" lastClr="000000"/>
              </a:solidFill>
            </a:rPr>
            <a:t> Group</a:t>
          </a:r>
          <a:endParaRPr lang="en-GB" sz="1200">
            <a:solidFill>
              <a:sysClr val="windowText" lastClr="000000"/>
            </a:solidFill>
            <a:effectLst/>
            <a:latin typeface="Times New Roman" panose="02020603050405020304" pitchFamily="18" charset="0"/>
            <a:cs typeface="Times New Roman" panose="02020603050405020304" pitchFamily="18" charset="0"/>
          </a:endParaRPr>
        </a:p>
        <a:p>
          <a:r>
            <a:rPr lang="en-GB" sz="1200">
              <a:solidFill>
                <a:sysClr val="windowText" lastClr="000000"/>
              </a:solidFill>
              <a:effectLst/>
              <a:latin typeface="+mj-lt"/>
              <a:cs typeface="Times New Roman" panose="02020603050405020304" pitchFamily="18" charset="0"/>
            </a:rPr>
            <a:t>1-5 : Infant</a:t>
          </a:r>
        </a:p>
        <a:p>
          <a:r>
            <a:rPr lang="en-GB" sz="1200">
              <a:solidFill>
                <a:sysClr val="windowText" lastClr="000000"/>
              </a:solidFill>
              <a:effectLst/>
              <a:latin typeface="+mj-lt"/>
              <a:cs typeface="Times New Roman" panose="02020603050405020304" pitchFamily="18" charset="0"/>
            </a:rPr>
            <a:t>6-12: Child</a:t>
          </a:r>
        </a:p>
        <a:p>
          <a:r>
            <a:rPr lang="en-GB" sz="1200">
              <a:solidFill>
                <a:sysClr val="windowText" lastClr="000000"/>
              </a:solidFill>
              <a:effectLst/>
              <a:latin typeface="+mj-lt"/>
              <a:cs typeface="Times New Roman" panose="02020603050405020304" pitchFamily="18" charset="0"/>
            </a:rPr>
            <a:t>13-19: Teenager</a:t>
          </a:r>
        </a:p>
        <a:p>
          <a:r>
            <a:rPr lang="en-GB" sz="1200">
              <a:solidFill>
                <a:sysClr val="windowText" lastClr="000000"/>
              </a:solidFill>
              <a:effectLst/>
              <a:latin typeface="+mj-lt"/>
              <a:cs typeface="Times New Roman" panose="02020603050405020304" pitchFamily="18" charset="0"/>
            </a:rPr>
            <a:t>20-29: Youth</a:t>
          </a:r>
        </a:p>
        <a:p>
          <a:r>
            <a:rPr lang="en-GB" sz="1200">
              <a:solidFill>
                <a:schemeClr val="tx1"/>
              </a:solidFill>
              <a:effectLst/>
              <a:latin typeface="+mj-lt"/>
              <a:ea typeface="+mn-ea"/>
              <a:cs typeface="+mn-cs"/>
            </a:rPr>
            <a:t>30-44: </a:t>
          </a:r>
          <a:r>
            <a:rPr lang="en-US" sz="1200">
              <a:solidFill>
                <a:schemeClr val="tx1"/>
              </a:solidFill>
              <a:effectLst/>
              <a:latin typeface="+mj-lt"/>
              <a:ea typeface="+mn-ea"/>
              <a:cs typeface="+mn-cs"/>
            </a:rPr>
            <a:t>Adult</a:t>
          </a:r>
          <a:endParaRPr lang="en-US" sz="1200">
            <a:solidFill>
              <a:schemeClr val="tx1"/>
            </a:solidFill>
            <a:effectLst/>
            <a:latin typeface="+mj-lt"/>
          </a:endParaRPr>
        </a:p>
        <a:p>
          <a:r>
            <a:rPr lang="en-GB" sz="1200">
              <a:solidFill>
                <a:schemeClr val="tx1"/>
              </a:solidFill>
              <a:effectLst/>
              <a:latin typeface="+mj-lt"/>
              <a:ea typeface="+mn-ea"/>
              <a:cs typeface="+mn-cs"/>
            </a:rPr>
            <a:t>45-60: </a:t>
          </a:r>
          <a:r>
            <a:rPr lang="en-US" sz="1200">
              <a:solidFill>
                <a:schemeClr val="tx1"/>
              </a:solidFill>
              <a:effectLst/>
              <a:latin typeface="+mj-lt"/>
              <a:ea typeface="+mn-ea"/>
              <a:cs typeface="+mn-cs"/>
            </a:rPr>
            <a:t>Middle Age</a:t>
          </a:r>
          <a:endParaRPr lang="en-US" sz="1200">
            <a:solidFill>
              <a:schemeClr val="tx1"/>
            </a:solidFill>
            <a:effectLst/>
            <a:latin typeface="+mj-lt"/>
          </a:endParaRPr>
        </a:p>
        <a:p>
          <a:r>
            <a:rPr lang="en-GB" sz="1200">
              <a:solidFill>
                <a:schemeClr val="tx1"/>
              </a:solidFill>
              <a:effectLst/>
              <a:latin typeface="+mj-lt"/>
              <a:ea typeface="+mn-ea"/>
              <a:cs typeface="+mn-cs"/>
            </a:rPr>
            <a:t>61-90: </a:t>
          </a:r>
          <a:r>
            <a:rPr lang="en-US" sz="1200">
              <a:solidFill>
                <a:schemeClr val="tx1"/>
              </a:solidFill>
              <a:effectLst/>
              <a:latin typeface="+mj-lt"/>
              <a:ea typeface="+mn-ea"/>
              <a:cs typeface="+mn-cs"/>
            </a:rPr>
            <a:t>Elderly</a:t>
          </a:r>
          <a:endParaRPr lang="en-US" sz="1200">
            <a:solidFill>
              <a:schemeClr val="tx1"/>
            </a:solidFill>
            <a:effectLst/>
            <a:latin typeface="+mj-lt"/>
          </a:endParaRPr>
        </a:p>
        <a:p>
          <a:endParaRPr lang="en-GB" sz="1200">
            <a:solidFill>
              <a:sysClr val="windowText" lastClr="000000"/>
            </a:solidFill>
            <a:effectLst/>
            <a:latin typeface="Times New Roman" panose="02020603050405020304" pitchFamily="18" charset="0"/>
            <a:cs typeface="Times New Roman" panose="02020603050405020304" pitchFamily="18" charset="0"/>
          </a:endParaRPr>
        </a:p>
        <a:p>
          <a:pPr algn="l"/>
          <a:endParaRPr lang="en-GB" sz="1100"/>
        </a:p>
      </xdr:txBody>
    </xdr:sp>
    <xdr:clientData/>
  </xdr:twoCellAnchor>
  <xdr:twoCellAnchor>
    <xdr:from>
      <xdr:col>13</xdr:col>
      <xdr:colOff>519112</xdr:colOff>
      <xdr:row>15</xdr:row>
      <xdr:rowOff>42863</xdr:rowOff>
    </xdr:from>
    <xdr:to>
      <xdr:col>19</xdr:col>
      <xdr:colOff>278897</xdr:colOff>
      <xdr:row>22</xdr:row>
      <xdr:rowOff>23347</xdr:rowOff>
    </xdr:to>
    <xdr:sp macro="" textlink="">
      <xdr:nvSpPr>
        <xdr:cNvPr id="4" name="Rectangle: Rounded Corners 3">
          <a:extLst>
            <a:ext uri="{FF2B5EF4-FFF2-40B4-BE49-F238E27FC236}">
              <a16:creationId xmlns:a16="http://schemas.microsoft.com/office/drawing/2014/main" id="{6F9BDF81-7BF3-492F-B4E1-C893773199AC}"/>
            </a:ext>
          </a:extLst>
        </xdr:cNvPr>
        <xdr:cNvSpPr/>
      </xdr:nvSpPr>
      <xdr:spPr>
        <a:xfrm>
          <a:off x="15216187" y="2757488"/>
          <a:ext cx="3645985" cy="1247309"/>
        </a:xfrm>
        <a:prstGeom prst="roundRect">
          <a:avLst>
            <a:gd name="adj" fmla="val 11376"/>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GB" sz="1200">
              <a:solidFill>
                <a:sysClr val="windowText" lastClr="000000"/>
              </a:solidFill>
            </a:rPr>
            <a:t>Billing Range</a:t>
          </a:r>
          <a:endParaRPr lang="en-GB" sz="1200">
            <a:solidFill>
              <a:sysClr val="windowText" lastClr="000000"/>
            </a:solidFill>
            <a:effectLst/>
            <a:latin typeface="Times New Roman" panose="02020603050405020304" pitchFamily="18" charset="0"/>
            <a:cs typeface="Times New Roman" panose="02020603050405020304" pitchFamily="18" charset="0"/>
          </a:endParaRPr>
        </a:p>
        <a:p>
          <a:r>
            <a:rPr lang="en-GB" sz="1200">
              <a:solidFill>
                <a:sysClr val="windowText" lastClr="000000"/>
              </a:solidFill>
              <a:effectLst/>
              <a:latin typeface="Times New Roman" panose="02020603050405020304" pitchFamily="18" charset="0"/>
              <a:cs typeface="Times New Roman" panose="02020603050405020304" pitchFamily="18" charset="0"/>
            </a:rPr>
            <a:t>Billing Amount	Billing Band</a:t>
          </a:r>
        </a:p>
        <a:p>
          <a:r>
            <a:rPr lang="en-GB" sz="1200">
              <a:solidFill>
                <a:sysClr val="windowText" lastClr="000000"/>
              </a:solidFill>
              <a:effectLst/>
              <a:latin typeface="Times New Roman" panose="02020603050405020304" pitchFamily="18" charset="0"/>
              <a:cs typeface="Times New Roman" panose="02020603050405020304" pitchFamily="18" charset="0"/>
            </a:rPr>
            <a:t>Under $10,000		Low</a:t>
          </a:r>
        </a:p>
        <a:p>
          <a:r>
            <a:rPr lang="en-GB" sz="1200">
              <a:solidFill>
                <a:sysClr val="windowText" lastClr="000000"/>
              </a:solidFill>
              <a:effectLst/>
              <a:latin typeface="Times New Roman" panose="02020603050405020304" pitchFamily="18" charset="0"/>
              <a:cs typeface="Times New Roman" panose="02020603050405020304" pitchFamily="18" charset="0"/>
            </a:rPr>
            <a:t>$10,000 – $20,000	Medium</a:t>
          </a:r>
        </a:p>
        <a:p>
          <a:r>
            <a:rPr lang="en-GB" sz="1200">
              <a:solidFill>
                <a:sysClr val="windowText" lastClr="000000"/>
              </a:solidFill>
              <a:effectLst/>
              <a:latin typeface="Times New Roman" panose="02020603050405020304" pitchFamily="18" charset="0"/>
              <a:cs typeface="Times New Roman" panose="02020603050405020304" pitchFamily="18" charset="0"/>
            </a:rPr>
            <a:t>$20,000 – $35,000	High</a:t>
          </a:r>
        </a:p>
        <a:p>
          <a:r>
            <a:rPr lang="en-GB" sz="1200">
              <a:solidFill>
                <a:sysClr val="windowText" lastClr="000000"/>
              </a:solidFill>
              <a:effectLst/>
              <a:latin typeface="Times New Roman" panose="02020603050405020304" pitchFamily="18" charset="0"/>
              <a:cs typeface="Times New Roman" panose="02020603050405020304" pitchFamily="18" charset="0"/>
            </a:rPr>
            <a:t>Above $35,000	Very High</a:t>
          </a:r>
        </a:p>
        <a:p>
          <a:pPr algn="l"/>
          <a:endParaRPr lang="en-GB" sz="1100"/>
        </a:p>
      </xdr:txBody>
    </xdr:sp>
    <xdr:clientData/>
  </xdr:twoCellAnchor>
  <xdr:twoCellAnchor>
    <xdr:from>
      <xdr:col>14</xdr:col>
      <xdr:colOff>0</xdr:colOff>
      <xdr:row>23</xdr:row>
      <xdr:rowOff>0</xdr:rowOff>
    </xdr:from>
    <xdr:to>
      <xdr:col>20</xdr:col>
      <xdr:colOff>61795</xdr:colOff>
      <xdr:row>30</xdr:row>
      <xdr:rowOff>26947</xdr:rowOff>
    </xdr:to>
    <xdr:sp macro="" textlink="">
      <xdr:nvSpPr>
        <xdr:cNvPr id="5" name="Rectangle: Rounded Corners 4">
          <a:extLst>
            <a:ext uri="{FF2B5EF4-FFF2-40B4-BE49-F238E27FC236}">
              <a16:creationId xmlns:a16="http://schemas.microsoft.com/office/drawing/2014/main" id="{9A12618B-F65E-4E25-ABEC-669D6180FCB5}"/>
            </a:ext>
          </a:extLst>
        </xdr:cNvPr>
        <xdr:cNvSpPr/>
      </xdr:nvSpPr>
      <xdr:spPr>
        <a:xfrm>
          <a:off x="12034838" y="4162425"/>
          <a:ext cx="3947995" cy="1293772"/>
        </a:xfrm>
        <a:prstGeom prst="roundRect">
          <a:avLst>
            <a:gd name="adj" fmla="val 11376"/>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GB" sz="1200">
              <a:solidFill>
                <a:sysClr val="windowText" lastClr="000000"/>
              </a:solidFill>
              <a:latin typeface="+mn-lt"/>
            </a:rPr>
            <a:t>Hospital Stay</a:t>
          </a:r>
          <a:r>
            <a:rPr lang="en-GB" sz="1200" baseline="0">
              <a:solidFill>
                <a:sysClr val="windowText" lastClr="000000"/>
              </a:solidFill>
              <a:latin typeface="+mn-lt"/>
            </a:rPr>
            <a:t> Range</a:t>
          </a:r>
          <a:endParaRPr lang="en-GB" sz="1200">
            <a:solidFill>
              <a:sysClr val="windowText" lastClr="000000"/>
            </a:solidFill>
            <a:effectLst/>
            <a:latin typeface="+mn-lt"/>
            <a:cs typeface="Times New Roman" panose="02020603050405020304" pitchFamily="18" charset="0"/>
          </a:endParaRPr>
        </a:p>
        <a:p>
          <a:r>
            <a:rPr lang="en-GB" sz="1200">
              <a:solidFill>
                <a:sysClr val="windowText" lastClr="000000"/>
              </a:solidFill>
              <a:effectLst/>
              <a:latin typeface="+mn-lt"/>
              <a:cs typeface="Times New Roman" panose="02020603050405020304" pitchFamily="18" charset="0"/>
            </a:rPr>
            <a:t>0–2	Short Stay</a:t>
          </a:r>
        </a:p>
        <a:p>
          <a:r>
            <a:rPr lang="en-GB" sz="1200">
              <a:solidFill>
                <a:sysClr val="windowText" lastClr="000000"/>
              </a:solidFill>
              <a:effectLst/>
              <a:latin typeface="+mn-lt"/>
              <a:cs typeface="Times New Roman" panose="02020603050405020304" pitchFamily="18" charset="0"/>
            </a:rPr>
            <a:t>3–5	Medium Stay</a:t>
          </a:r>
        </a:p>
        <a:p>
          <a:r>
            <a:rPr lang="en-GB" sz="1200">
              <a:solidFill>
                <a:sysClr val="windowText" lastClr="000000"/>
              </a:solidFill>
              <a:effectLst/>
              <a:latin typeface="+mn-lt"/>
              <a:cs typeface="Times New Roman" panose="02020603050405020304" pitchFamily="18" charset="0"/>
            </a:rPr>
            <a:t>6–10	Long Stay</a:t>
          </a:r>
        </a:p>
        <a:p>
          <a:r>
            <a:rPr lang="en-GB" sz="1200">
              <a:solidFill>
                <a:sysClr val="windowText" lastClr="000000"/>
              </a:solidFill>
              <a:effectLst/>
              <a:latin typeface="+mn-lt"/>
              <a:cs typeface="Times New Roman" panose="02020603050405020304" pitchFamily="18" charset="0"/>
            </a:rPr>
            <a:t>11+	Extended Stay</a:t>
          </a:r>
        </a:p>
        <a:p>
          <a:pPr algn="l"/>
          <a:endParaRPr lang="en-GB" sz="1100"/>
        </a:p>
      </xdr:txBody>
    </xdr:sp>
    <xdr:clientData/>
  </xdr:twoCellAnchor>
  <xdr:twoCellAnchor>
    <xdr:from>
      <xdr:col>14</xdr:col>
      <xdr:colOff>23811</xdr:colOff>
      <xdr:row>32</xdr:row>
      <xdr:rowOff>19051</xdr:rowOff>
    </xdr:from>
    <xdr:to>
      <xdr:col>19</xdr:col>
      <xdr:colOff>428624</xdr:colOff>
      <xdr:row>40</xdr:row>
      <xdr:rowOff>28576</xdr:rowOff>
    </xdr:to>
    <xdr:sp macro="" textlink="">
      <xdr:nvSpPr>
        <xdr:cNvPr id="6" name="Rectangle: Rounded Corners 5">
          <a:extLst>
            <a:ext uri="{FF2B5EF4-FFF2-40B4-BE49-F238E27FC236}">
              <a16:creationId xmlns:a16="http://schemas.microsoft.com/office/drawing/2014/main" id="{7395C3CD-9B4F-A58E-D619-CD1FF174C6EF}"/>
            </a:ext>
          </a:extLst>
        </xdr:cNvPr>
        <xdr:cNvSpPr/>
      </xdr:nvSpPr>
      <xdr:spPr>
        <a:xfrm>
          <a:off x="13363574" y="5810251"/>
          <a:ext cx="3643313" cy="1457325"/>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en-US" sz="1200" b="0" i="0">
            <a:solidFill>
              <a:sysClr val="windowText" lastClr="000000"/>
            </a:solidFill>
            <a:effectLst/>
            <a:latin typeface="+mn-lt"/>
            <a:ea typeface="+mn-ea"/>
            <a:cs typeface="Times New Roman" panose="02020603050405020304" pitchFamily="18" charset="0"/>
          </a:endParaRPr>
        </a:p>
        <a:p>
          <a:r>
            <a:rPr lang="en-US" sz="1200" b="0" i="0">
              <a:solidFill>
                <a:sysClr val="windowText" lastClr="000000"/>
              </a:solidFill>
              <a:effectLst/>
              <a:latin typeface="+mn-lt"/>
              <a:ea typeface="+mn-ea"/>
              <a:cs typeface="Times New Roman" panose="02020603050405020304" pitchFamily="18" charset="0"/>
            </a:rPr>
            <a:t>Recovery Score Range</a:t>
          </a:r>
        </a:p>
        <a:p>
          <a:r>
            <a:rPr lang="en-US" sz="1200" b="0" i="0">
              <a:solidFill>
                <a:sysClr val="windowText" lastClr="000000"/>
              </a:solidFill>
              <a:effectLst/>
              <a:latin typeface="+mn-lt"/>
              <a:ea typeface="+mn-ea"/>
              <a:cs typeface="Times New Roman" panose="02020603050405020304" pitchFamily="18" charset="0"/>
            </a:rPr>
            <a:t>High Score: 67-100 points</a:t>
          </a:r>
        </a:p>
        <a:p>
          <a:r>
            <a:rPr lang="en-US" sz="1200" b="0" i="0">
              <a:solidFill>
                <a:sysClr val="windowText" lastClr="000000"/>
              </a:solidFill>
              <a:effectLst/>
              <a:latin typeface="+mn-lt"/>
              <a:ea typeface="+mn-ea"/>
              <a:cs typeface="Times New Roman" panose="02020603050405020304" pitchFamily="18" charset="0"/>
            </a:rPr>
            <a:t>Moderate</a:t>
          </a:r>
          <a:r>
            <a:rPr lang="en-US" sz="1200" b="0" i="0" baseline="0">
              <a:solidFill>
                <a:sysClr val="windowText" lastClr="000000"/>
              </a:solidFill>
              <a:effectLst/>
              <a:latin typeface="+mn-lt"/>
              <a:ea typeface="+mn-ea"/>
              <a:cs typeface="Times New Roman" panose="02020603050405020304" pitchFamily="18" charset="0"/>
            </a:rPr>
            <a:t> Score</a:t>
          </a:r>
          <a:r>
            <a:rPr lang="en-US" sz="1200" b="0" i="0">
              <a:solidFill>
                <a:sysClr val="windowText" lastClr="000000"/>
              </a:solidFill>
              <a:effectLst/>
              <a:latin typeface="+mn-lt"/>
              <a:ea typeface="+mn-ea"/>
              <a:cs typeface="Times New Roman" panose="02020603050405020304" pitchFamily="18" charset="0"/>
            </a:rPr>
            <a:t>: 34-66 points</a:t>
          </a:r>
        </a:p>
        <a:p>
          <a:r>
            <a:rPr lang="en-US" sz="1200" b="0" i="0">
              <a:solidFill>
                <a:sysClr val="windowText" lastClr="000000"/>
              </a:solidFill>
              <a:effectLst/>
              <a:latin typeface="+mn-lt"/>
              <a:ea typeface="+mn-ea"/>
              <a:cs typeface="Times New Roman" panose="02020603050405020304" pitchFamily="18" charset="0"/>
            </a:rPr>
            <a:t>Low Score: 1 -33points</a:t>
          </a:r>
        </a:p>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23813</xdr:rowOff>
    </xdr:from>
    <xdr:to>
      <xdr:col>24</xdr:col>
      <xdr:colOff>109902</xdr:colOff>
      <xdr:row>3</xdr:row>
      <xdr:rowOff>87922</xdr:rowOff>
    </xdr:to>
    <xdr:sp macro="" textlink="">
      <xdr:nvSpPr>
        <xdr:cNvPr id="2" name="Rectangle 1">
          <a:extLst>
            <a:ext uri="{FF2B5EF4-FFF2-40B4-BE49-F238E27FC236}">
              <a16:creationId xmlns:a16="http://schemas.microsoft.com/office/drawing/2014/main" id="{53339398-D5CB-4193-DF24-0515CD53ECCC}"/>
            </a:ext>
          </a:extLst>
        </xdr:cNvPr>
        <xdr:cNvSpPr/>
      </xdr:nvSpPr>
      <xdr:spPr>
        <a:xfrm>
          <a:off x="0" y="23813"/>
          <a:ext cx="15584364" cy="613629"/>
        </a:xfrm>
        <a:prstGeom prst="rect">
          <a:avLst/>
        </a:prstGeom>
        <a:solidFill>
          <a:schemeClr val="accent3">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119062</xdr:colOff>
      <xdr:row>0</xdr:row>
      <xdr:rowOff>128587</xdr:rowOff>
    </xdr:from>
    <xdr:to>
      <xdr:col>18</xdr:col>
      <xdr:colOff>566738</xdr:colOff>
      <xdr:row>3</xdr:row>
      <xdr:rowOff>33337</xdr:rowOff>
    </xdr:to>
    <xdr:sp macro="" textlink="">
      <xdr:nvSpPr>
        <xdr:cNvPr id="3" name="TextBox 2">
          <a:extLst>
            <a:ext uri="{FF2B5EF4-FFF2-40B4-BE49-F238E27FC236}">
              <a16:creationId xmlns:a16="http://schemas.microsoft.com/office/drawing/2014/main" id="{CBCF3F0A-C241-E110-EB3E-1CA475A9A499}"/>
            </a:ext>
          </a:extLst>
        </xdr:cNvPr>
        <xdr:cNvSpPr txBox="1"/>
      </xdr:nvSpPr>
      <xdr:spPr>
        <a:xfrm>
          <a:off x="3357562" y="128587"/>
          <a:ext cx="8867776" cy="447675"/>
        </a:xfrm>
        <a:prstGeom prst="rect">
          <a:avLst/>
        </a:prstGeom>
        <a:solidFill>
          <a:schemeClr val="accent3">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bg1"/>
              </a:solidFill>
              <a:latin typeface="Georgia" panose="02040502050405020303" pitchFamily="18" charset="0"/>
            </a:rPr>
            <a:t>Green</a:t>
          </a:r>
          <a:r>
            <a:rPr lang="en-US" sz="2400" b="1">
              <a:latin typeface="Georgia" panose="02040502050405020303" pitchFamily="18" charset="0"/>
            </a:rPr>
            <a:t> </a:t>
          </a:r>
          <a:r>
            <a:rPr lang="en-US" sz="2400" b="1">
              <a:solidFill>
                <a:schemeClr val="bg1"/>
              </a:solidFill>
              <a:latin typeface="Georgia" panose="02040502050405020303" pitchFamily="18" charset="0"/>
            </a:rPr>
            <a:t>Valley Health Network Performance Dashboard</a:t>
          </a:r>
        </a:p>
      </xdr:txBody>
    </xdr:sp>
    <xdr:clientData/>
  </xdr:twoCellAnchor>
  <xdr:twoCellAnchor>
    <xdr:from>
      <xdr:col>0</xdr:col>
      <xdr:colOff>0</xdr:colOff>
      <xdr:row>14</xdr:row>
      <xdr:rowOff>23447</xdr:rowOff>
    </xdr:from>
    <xdr:to>
      <xdr:col>4</xdr:col>
      <xdr:colOff>295274</xdr:colOff>
      <xdr:row>18</xdr:row>
      <xdr:rowOff>104410</xdr:rowOff>
    </xdr:to>
    <xdr:sp macro="" textlink="'Pivot Tables'!B4">
      <xdr:nvSpPr>
        <xdr:cNvPr id="10" name="Rectangle 9">
          <a:extLst>
            <a:ext uri="{FF2B5EF4-FFF2-40B4-BE49-F238E27FC236}">
              <a16:creationId xmlns:a16="http://schemas.microsoft.com/office/drawing/2014/main" id="{245E1F62-E537-1714-B339-1B38CA4217AF}"/>
            </a:ext>
          </a:extLst>
        </xdr:cNvPr>
        <xdr:cNvSpPr/>
      </xdr:nvSpPr>
      <xdr:spPr>
        <a:xfrm>
          <a:off x="0" y="2587870"/>
          <a:ext cx="2874351" cy="813655"/>
        </a:xfrm>
        <a:prstGeom prst="rect">
          <a:avLst/>
        </a:prstGeom>
        <a:solidFill>
          <a:schemeClr val="accent3">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E48667E2-7799-47CE-A6C3-2C282846415F}" type="TxLink">
            <a:rPr lang="en-US" sz="1800" b="1" i="0" u="none" strike="noStrike">
              <a:solidFill>
                <a:schemeClr val="bg1"/>
              </a:solidFill>
              <a:latin typeface="Calibri"/>
              <a:ea typeface="Calibri"/>
              <a:cs typeface="Calibri"/>
            </a:rPr>
            <a:pPr algn="ctr"/>
            <a:t>400</a:t>
          </a:fld>
          <a:endParaRPr lang="en-US" sz="1800" b="1">
            <a:solidFill>
              <a:schemeClr val="bg1"/>
            </a:solidFill>
          </a:endParaRPr>
        </a:p>
      </xdr:txBody>
    </xdr:sp>
    <xdr:clientData/>
  </xdr:twoCellAnchor>
  <xdr:twoCellAnchor>
    <xdr:from>
      <xdr:col>1</xdr:col>
      <xdr:colOff>26011</xdr:colOff>
      <xdr:row>14</xdr:row>
      <xdr:rowOff>124558</xdr:rowOff>
    </xdr:from>
    <xdr:to>
      <xdr:col>3</xdr:col>
      <xdr:colOff>381000</xdr:colOff>
      <xdr:row>16</xdr:row>
      <xdr:rowOff>162659</xdr:rowOff>
    </xdr:to>
    <xdr:sp macro="" textlink="">
      <xdr:nvSpPr>
        <xdr:cNvPr id="11" name="TextBox 10">
          <a:extLst>
            <a:ext uri="{FF2B5EF4-FFF2-40B4-BE49-F238E27FC236}">
              <a16:creationId xmlns:a16="http://schemas.microsoft.com/office/drawing/2014/main" id="{3EE11AE5-4B91-0C85-8D64-C3DDD4342E31}"/>
            </a:ext>
          </a:extLst>
        </xdr:cNvPr>
        <xdr:cNvSpPr txBox="1"/>
      </xdr:nvSpPr>
      <xdr:spPr>
        <a:xfrm>
          <a:off x="670780" y="2688981"/>
          <a:ext cx="1644528" cy="404447"/>
        </a:xfrm>
        <a:prstGeom prst="rect">
          <a:avLst/>
        </a:prstGeom>
        <a:solidFill>
          <a:schemeClr val="accent3">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latin typeface="Georgia" panose="02040502050405020303" pitchFamily="18" charset="0"/>
            </a:rPr>
            <a:t>Total Patients</a:t>
          </a:r>
        </a:p>
      </xdr:txBody>
    </xdr:sp>
    <xdr:clientData/>
  </xdr:twoCellAnchor>
  <xdr:twoCellAnchor>
    <xdr:from>
      <xdr:col>0</xdr:col>
      <xdr:colOff>9525</xdr:colOff>
      <xdr:row>18</xdr:row>
      <xdr:rowOff>156065</xdr:rowOff>
    </xdr:from>
    <xdr:to>
      <xdr:col>4</xdr:col>
      <xdr:colOff>304799</xdr:colOff>
      <xdr:row>23</xdr:row>
      <xdr:rowOff>53852</xdr:rowOff>
    </xdr:to>
    <xdr:sp macro="" textlink="'Pivot Tables'!B5">
      <xdr:nvSpPr>
        <xdr:cNvPr id="16" name="Rectangle 15">
          <a:extLst>
            <a:ext uri="{FF2B5EF4-FFF2-40B4-BE49-F238E27FC236}">
              <a16:creationId xmlns:a16="http://schemas.microsoft.com/office/drawing/2014/main" id="{5B7CBDAB-39E9-C463-DA90-0A13A30CFC8E}"/>
            </a:ext>
          </a:extLst>
        </xdr:cNvPr>
        <xdr:cNvSpPr/>
      </xdr:nvSpPr>
      <xdr:spPr>
        <a:xfrm>
          <a:off x="9525" y="3453180"/>
          <a:ext cx="2874351" cy="813654"/>
        </a:xfrm>
        <a:prstGeom prst="rect">
          <a:avLst/>
        </a:prstGeom>
        <a:solidFill>
          <a:schemeClr val="accent3">
            <a:lumMod val="75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BB816534-C555-4118-8B18-364B91514D4C}" type="TxLink">
            <a:rPr lang="en-US" sz="2000" b="1" i="0" u="none" strike="noStrike">
              <a:solidFill>
                <a:schemeClr val="bg1"/>
              </a:solidFill>
              <a:latin typeface="Calibri"/>
              <a:ea typeface="Calibri"/>
              <a:cs typeface="Calibri"/>
            </a:rPr>
            <a:pPr algn="ctr"/>
            <a:t> $2,020,610.00 </a:t>
          </a:fld>
          <a:endParaRPr lang="en-US" sz="2000" b="1">
            <a:solidFill>
              <a:schemeClr val="bg1"/>
            </a:solidFill>
          </a:endParaRPr>
        </a:p>
      </xdr:txBody>
    </xdr:sp>
    <xdr:clientData/>
  </xdr:twoCellAnchor>
  <xdr:twoCellAnchor>
    <xdr:from>
      <xdr:col>0</xdr:col>
      <xdr:colOff>629748</xdr:colOff>
      <xdr:row>19</xdr:row>
      <xdr:rowOff>74002</xdr:rowOff>
    </xdr:from>
    <xdr:to>
      <xdr:col>3</xdr:col>
      <xdr:colOff>342167</xdr:colOff>
      <xdr:row>21</xdr:row>
      <xdr:rowOff>112102</xdr:rowOff>
    </xdr:to>
    <xdr:sp macro="" textlink="">
      <xdr:nvSpPr>
        <xdr:cNvPr id="17" name="TextBox 16">
          <a:extLst>
            <a:ext uri="{FF2B5EF4-FFF2-40B4-BE49-F238E27FC236}">
              <a16:creationId xmlns:a16="http://schemas.microsoft.com/office/drawing/2014/main" id="{D8A64DF0-45A0-6A9D-EFC1-BC9FE7B362B5}"/>
            </a:ext>
          </a:extLst>
        </xdr:cNvPr>
        <xdr:cNvSpPr txBox="1"/>
      </xdr:nvSpPr>
      <xdr:spPr>
        <a:xfrm>
          <a:off x="629748" y="3554291"/>
          <a:ext cx="1646727" cy="404446"/>
        </a:xfrm>
        <a:prstGeom prst="rect">
          <a:avLst/>
        </a:prstGeom>
        <a:solidFill>
          <a:schemeClr val="accent3">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latin typeface="Georgia" panose="02040502050405020303" pitchFamily="18" charset="0"/>
            </a:rPr>
            <a:t>Total Revenue</a:t>
          </a:r>
        </a:p>
      </xdr:txBody>
    </xdr:sp>
    <xdr:clientData/>
  </xdr:twoCellAnchor>
  <xdr:twoCellAnchor>
    <xdr:from>
      <xdr:col>0</xdr:col>
      <xdr:colOff>21980</xdr:colOff>
      <xdr:row>23</xdr:row>
      <xdr:rowOff>103308</xdr:rowOff>
    </xdr:from>
    <xdr:to>
      <xdr:col>4</xdr:col>
      <xdr:colOff>314323</xdr:colOff>
      <xdr:row>28</xdr:row>
      <xdr:rowOff>3297</xdr:rowOff>
    </xdr:to>
    <xdr:sp macro="" textlink="'Pivot Tables'!B6">
      <xdr:nvSpPr>
        <xdr:cNvPr id="18" name="Rectangle 17">
          <a:extLst>
            <a:ext uri="{FF2B5EF4-FFF2-40B4-BE49-F238E27FC236}">
              <a16:creationId xmlns:a16="http://schemas.microsoft.com/office/drawing/2014/main" id="{F002FA06-6C10-2B74-FB76-5102B28C1E66}"/>
            </a:ext>
          </a:extLst>
        </xdr:cNvPr>
        <xdr:cNvSpPr/>
      </xdr:nvSpPr>
      <xdr:spPr>
        <a:xfrm>
          <a:off x="21980" y="4316290"/>
          <a:ext cx="2871420" cy="815853"/>
        </a:xfrm>
        <a:prstGeom prst="rect">
          <a:avLst/>
        </a:prstGeom>
        <a:solidFill>
          <a:schemeClr val="accent3">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5FA4E271-4040-4688-897F-68A2D8A528E9}" type="TxLink">
            <a:rPr lang="en-US" sz="2000" b="1" i="0" u="none" strike="noStrike">
              <a:solidFill>
                <a:schemeClr val="bg1"/>
              </a:solidFill>
              <a:latin typeface="Calibri"/>
              <a:ea typeface="Calibri"/>
              <a:cs typeface="Calibri"/>
            </a:rPr>
            <a:pPr algn="ctr"/>
            <a:t>5</a:t>
          </a:fld>
          <a:endParaRPr lang="en-US" sz="2000" b="1">
            <a:solidFill>
              <a:schemeClr val="bg1"/>
            </a:solidFill>
          </a:endParaRPr>
        </a:p>
      </xdr:txBody>
    </xdr:sp>
    <xdr:clientData/>
  </xdr:twoCellAnchor>
  <xdr:twoCellAnchor>
    <xdr:from>
      <xdr:col>0</xdr:col>
      <xdr:colOff>439615</xdr:colOff>
      <xdr:row>24</xdr:row>
      <xdr:rowOff>38102</xdr:rowOff>
    </xdr:from>
    <xdr:to>
      <xdr:col>3</xdr:col>
      <xdr:colOff>564173</xdr:colOff>
      <xdr:row>26</xdr:row>
      <xdr:rowOff>76202</xdr:rowOff>
    </xdr:to>
    <xdr:sp macro="" textlink="">
      <xdr:nvSpPr>
        <xdr:cNvPr id="19" name="TextBox 18">
          <a:extLst>
            <a:ext uri="{FF2B5EF4-FFF2-40B4-BE49-F238E27FC236}">
              <a16:creationId xmlns:a16="http://schemas.microsoft.com/office/drawing/2014/main" id="{3F84CBC7-9DA6-9A0F-42D2-09BCAE531B15}"/>
            </a:ext>
          </a:extLst>
        </xdr:cNvPr>
        <xdr:cNvSpPr txBox="1"/>
      </xdr:nvSpPr>
      <xdr:spPr>
        <a:xfrm>
          <a:off x="439615" y="4434256"/>
          <a:ext cx="2058866" cy="404446"/>
        </a:xfrm>
        <a:prstGeom prst="rect">
          <a:avLst/>
        </a:prstGeom>
        <a:solidFill>
          <a:schemeClr val="accent3">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latin typeface="Georgia" panose="02040502050405020303" pitchFamily="18" charset="0"/>
            </a:rPr>
            <a:t>Avg. Hospital</a:t>
          </a:r>
          <a:r>
            <a:rPr lang="en-US" sz="1400" b="1" baseline="0">
              <a:solidFill>
                <a:schemeClr val="bg1"/>
              </a:solidFill>
              <a:latin typeface="Georgia" panose="02040502050405020303" pitchFamily="18" charset="0"/>
            </a:rPr>
            <a:t> Stay</a:t>
          </a:r>
          <a:endParaRPr lang="en-US" sz="1400" b="1">
            <a:solidFill>
              <a:schemeClr val="bg1"/>
            </a:solidFill>
            <a:latin typeface="Georgia" panose="02040502050405020303" pitchFamily="18" charset="0"/>
          </a:endParaRPr>
        </a:p>
      </xdr:txBody>
    </xdr:sp>
    <xdr:clientData/>
  </xdr:twoCellAnchor>
  <xdr:twoCellAnchor>
    <xdr:from>
      <xdr:col>0</xdr:col>
      <xdr:colOff>0</xdr:colOff>
      <xdr:row>28</xdr:row>
      <xdr:rowOff>75835</xdr:rowOff>
    </xdr:from>
    <xdr:to>
      <xdr:col>4</xdr:col>
      <xdr:colOff>295274</xdr:colOff>
      <xdr:row>32</xdr:row>
      <xdr:rowOff>156797</xdr:rowOff>
    </xdr:to>
    <xdr:sp macro="" textlink="'Pivot Tables'!C11">
      <xdr:nvSpPr>
        <xdr:cNvPr id="20" name="Rectangle 19">
          <a:extLst>
            <a:ext uri="{FF2B5EF4-FFF2-40B4-BE49-F238E27FC236}">
              <a16:creationId xmlns:a16="http://schemas.microsoft.com/office/drawing/2014/main" id="{9E11DAD1-8DFD-B941-0983-D905B5173BBD}"/>
            </a:ext>
          </a:extLst>
        </xdr:cNvPr>
        <xdr:cNvSpPr/>
      </xdr:nvSpPr>
      <xdr:spPr>
        <a:xfrm>
          <a:off x="0" y="5204681"/>
          <a:ext cx="2874351" cy="813654"/>
        </a:xfrm>
        <a:prstGeom prst="rect">
          <a:avLst/>
        </a:prstGeom>
        <a:solidFill>
          <a:schemeClr val="accent3">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083E62C8-0438-42FB-ADCB-0A0A15749F3C}" type="TxLink">
            <a:rPr lang="en-US" sz="2000" b="1" i="0" u="none" strike="noStrike">
              <a:solidFill>
                <a:schemeClr val="bg1"/>
              </a:solidFill>
              <a:latin typeface="Calibri"/>
              <a:ea typeface="Calibri"/>
              <a:cs typeface="Calibri"/>
            </a:rPr>
            <a:pPr algn="ctr"/>
            <a:t>26%</a:t>
          </a:fld>
          <a:endParaRPr lang="en-US" sz="2000" b="1">
            <a:solidFill>
              <a:schemeClr val="bg1"/>
            </a:solidFill>
          </a:endParaRPr>
        </a:p>
      </xdr:txBody>
    </xdr:sp>
    <xdr:clientData/>
  </xdr:twoCellAnchor>
  <xdr:twoCellAnchor>
    <xdr:from>
      <xdr:col>0</xdr:col>
      <xdr:colOff>212481</xdr:colOff>
      <xdr:row>29</xdr:row>
      <xdr:rowOff>734</xdr:rowOff>
    </xdr:from>
    <xdr:to>
      <xdr:col>4</xdr:col>
      <xdr:colOff>146539</xdr:colOff>
      <xdr:row>31</xdr:row>
      <xdr:rowOff>41031</xdr:rowOff>
    </xdr:to>
    <xdr:sp macro="" textlink="">
      <xdr:nvSpPr>
        <xdr:cNvPr id="21" name="TextBox 20">
          <a:extLst>
            <a:ext uri="{FF2B5EF4-FFF2-40B4-BE49-F238E27FC236}">
              <a16:creationId xmlns:a16="http://schemas.microsoft.com/office/drawing/2014/main" id="{D3E031AB-D27B-699B-3B9E-5EFEA7E5175C}"/>
            </a:ext>
          </a:extLst>
        </xdr:cNvPr>
        <xdr:cNvSpPr txBox="1"/>
      </xdr:nvSpPr>
      <xdr:spPr>
        <a:xfrm>
          <a:off x="212481" y="5312754"/>
          <a:ext cx="2513135" cy="406643"/>
        </a:xfrm>
        <a:prstGeom prst="rect">
          <a:avLst/>
        </a:prstGeom>
        <a:solidFill>
          <a:schemeClr val="accent3">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latin typeface="Georgia" panose="02040502050405020303" pitchFamily="18" charset="0"/>
            </a:rPr>
            <a:t>Medication Treatment %</a:t>
          </a:r>
        </a:p>
      </xdr:txBody>
    </xdr:sp>
    <xdr:clientData/>
  </xdr:twoCellAnchor>
  <xdr:twoCellAnchor>
    <xdr:from>
      <xdr:col>0</xdr:col>
      <xdr:colOff>14654</xdr:colOff>
      <xdr:row>33</xdr:row>
      <xdr:rowOff>28575</xdr:rowOff>
    </xdr:from>
    <xdr:to>
      <xdr:col>4</xdr:col>
      <xdr:colOff>309928</xdr:colOff>
      <xdr:row>37</xdr:row>
      <xdr:rowOff>109536</xdr:rowOff>
    </xdr:to>
    <xdr:sp macro="" textlink="'Pivot Tables'!C12">
      <xdr:nvSpPr>
        <xdr:cNvPr id="22" name="Rectangle 21">
          <a:extLst>
            <a:ext uri="{FF2B5EF4-FFF2-40B4-BE49-F238E27FC236}">
              <a16:creationId xmlns:a16="http://schemas.microsoft.com/office/drawing/2014/main" id="{86CB52CD-FDD9-6495-07C6-72458EFF5658}"/>
            </a:ext>
          </a:extLst>
        </xdr:cNvPr>
        <xdr:cNvSpPr/>
      </xdr:nvSpPr>
      <xdr:spPr>
        <a:xfrm>
          <a:off x="14654" y="6073287"/>
          <a:ext cx="2874351" cy="813654"/>
        </a:xfrm>
        <a:prstGeom prst="rect">
          <a:avLst/>
        </a:prstGeom>
        <a:solidFill>
          <a:schemeClr val="accent3">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2822492D-203D-426E-8CD7-D379DF897D6D}" type="TxLink">
            <a:rPr lang="en-US" sz="2000" b="1" i="0" u="none" strike="noStrike">
              <a:solidFill>
                <a:schemeClr val="bg1"/>
              </a:solidFill>
              <a:latin typeface="Calibri"/>
              <a:ea typeface="Calibri"/>
              <a:cs typeface="Calibri"/>
            </a:rPr>
            <a:pPr algn="ctr"/>
            <a:t>26%</a:t>
          </a:fld>
          <a:endParaRPr lang="en-US" sz="2000" b="1">
            <a:solidFill>
              <a:schemeClr val="bg1"/>
            </a:solidFill>
          </a:endParaRPr>
        </a:p>
      </xdr:txBody>
    </xdr:sp>
    <xdr:clientData/>
  </xdr:twoCellAnchor>
  <xdr:twoCellAnchor>
    <xdr:from>
      <xdr:col>0</xdr:col>
      <xdr:colOff>153866</xdr:colOff>
      <xdr:row>33</xdr:row>
      <xdr:rowOff>133718</xdr:rowOff>
    </xdr:from>
    <xdr:to>
      <xdr:col>4</xdr:col>
      <xdr:colOff>153865</xdr:colOff>
      <xdr:row>35</xdr:row>
      <xdr:rowOff>171818</xdr:rowOff>
    </xdr:to>
    <xdr:sp macro="" textlink="">
      <xdr:nvSpPr>
        <xdr:cNvPr id="23" name="TextBox 22">
          <a:extLst>
            <a:ext uri="{FF2B5EF4-FFF2-40B4-BE49-F238E27FC236}">
              <a16:creationId xmlns:a16="http://schemas.microsoft.com/office/drawing/2014/main" id="{DB461B6C-3077-8C02-317B-8668D7666612}"/>
            </a:ext>
          </a:extLst>
        </xdr:cNvPr>
        <xdr:cNvSpPr txBox="1"/>
      </xdr:nvSpPr>
      <xdr:spPr>
        <a:xfrm>
          <a:off x="153866" y="6178430"/>
          <a:ext cx="2579076" cy="404446"/>
        </a:xfrm>
        <a:prstGeom prst="rect">
          <a:avLst/>
        </a:prstGeom>
        <a:solidFill>
          <a:schemeClr val="accent3">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latin typeface="Georgia" panose="02040502050405020303" pitchFamily="18" charset="0"/>
            </a:rPr>
            <a:t>Observation</a:t>
          </a:r>
          <a:r>
            <a:rPr lang="en-US" sz="1400" b="1" baseline="0">
              <a:solidFill>
                <a:schemeClr val="bg1"/>
              </a:solidFill>
              <a:latin typeface="Georgia" panose="02040502050405020303" pitchFamily="18" charset="0"/>
            </a:rPr>
            <a:t> Treatment %</a:t>
          </a:r>
          <a:endParaRPr lang="en-US" sz="1400" b="1">
            <a:solidFill>
              <a:schemeClr val="bg1"/>
            </a:solidFill>
            <a:latin typeface="Georgia" panose="02040502050405020303" pitchFamily="18" charset="0"/>
          </a:endParaRPr>
        </a:p>
      </xdr:txBody>
    </xdr:sp>
    <xdr:clientData/>
  </xdr:twoCellAnchor>
  <xdr:twoCellAnchor>
    <xdr:from>
      <xdr:col>0</xdr:col>
      <xdr:colOff>0</xdr:colOff>
      <xdr:row>38</xdr:row>
      <xdr:rowOff>6597</xdr:rowOff>
    </xdr:from>
    <xdr:to>
      <xdr:col>4</xdr:col>
      <xdr:colOff>295274</xdr:colOff>
      <xdr:row>42</xdr:row>
      <xdr:rowOff>87559</xdr:rowOff>
    </xdr:to>
    <xdr:sp macro="" textlink="'Pivot Tables'!C13">
      <xdr:nvSpPr>
        <xdr:cNvPr id="24" name="Rectangle 23">
          <a:extLst>
            <a:ext uri="{FF2B5EF4-FFF2-40B4-BE49-F238E27FC236}">
              <a16:creationId xmlns:a16="http://schemas.microsoft.com/office/drawing/2014/main" id="{6CC4F1E5-752C-AC2F-8DF5-8B87EC5F1796}"/>
            </a:ext>
          </a:extLst>
        </xdr:cNvPr>
        <xdr:cNvSpPr/>
      </xdr:nvSpPr>
      <xdr:spPr>
        <a:xfrm>
          <a:off x="0" y="6967174"/>
          <a:ext cx="2874351" cy="813654"/>
        </a:xfrm>
        <a:prstGeom prst="rect">
          <a:avLst/>
        </a:prstGeom>
        <a:solidFill>
          <a:schemeClr val="accent3">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7AF8FAAB-2C41-4412-A8E7-9777DD126783}" type="TxLink">
            <a:rPr lang="en-US" sz="2000" b="1" i="0" u="none" strike="noStrike">
              <a:solidFill>
                <a:schemeClr val="bg1"/>
              </a:solidFill>
              <a:latin typeface="Calibri"/>
              <a:ea typeface="Calibri"/>
              <a:cs typeface="Calibri"/>
            </a:rPr>
            <a:pPr algn="ctr"/>
            <a:t>24%</a:t>
          </a:fld>
          <a:endParaRPr lang="en-US" sz="2000" b="1">
            <a:solidFill>
              <a:schemeClr val="bg1"/>
            </a:solidFill>
          </a:endParaRPr>
        </a:p>
      </xdr:txBody>
    </xdr:sp>
    <xdr:clientData/>
  </xdr:twoCellAnchor>
  <xdr:twoCellAnchor>
    <xdr:from>
      <xdr:col>0</xdr:col>
      <xdr:colOff>256442</xdr:colOff>
      <xdr:row>38</xdr:row>
      <xdr:rowOff>87191</xdr:rowOff>
    </xdr:from>
    <xdr:to>
      <xdr:col>3</xdr:col>
      <xdr:colOff>600807</xdr:colOff>
      <xdr:row>40</xdr:row>
      <xdr:rowOff>125291</xdr:rowOff>
    </xdr:to>
    <xdr:sp macro="" textlink="">
      <xdr:nvSpPr>
        <xdr:cNvPr id="25" name="TextBox 24">
          <a:extLst>
            <a:ext uri="{FF2B5EF4-FFF2-40B4-BE49-F238E27FC236}">
              <a16:creationId xmlns:a16="http://schemas.microsoft.com/office/drawing/2014/main" id="{8C07CD5B-132A-71E9-4F4A-31F016B39D69}"/>
            </a:ext>
          </a:extLst>
        </xdr:cNvPr>
        <xdr:cNvSpPr txBox="1"/>
      </xdr:nvSpPr>
      <xdr:spPr>
        <a:xfrm>
          <a:off x="256442" y="7047768"/>
          <a:ext cx="2278673" cy="404446"/>
        </a:xfrm>
        <a:prstGeom prst="rect">
          <a:avLst/>
        </a:prstGeom>
        <a:solidFill>
          <a:schemeClr val="accent3">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latin typeface="Georgia" panose="02040502050405020303" pitchFamily="18" charset="0"/>
            </a:rPr>
            <a:t>Surgery Treatment %</a:t>
          </a:r>
        </a:p>
      </xdr:txBody>
    </xdr:sp>
    <xdr:clientData/>
  </xdr:twoCellAnchor>
  <xdr:twoCellAnchor>
    <xdr:from>
      <xdr:col>0</xdr:col>
      <xdr:colOff>20516</xdr:colOff>
      <xdr:row>42</xdr:row>
      <xdr:rowOff>180976</xdr:rowOff>
    </xdr:from>
    <xdr:to>
      <xdr:col>4</xdr:col>
      <xdr:colOff>315790</xdr:colOff>
      <xdr:row>47</xdr:row>
      <xdr:rowOff>78764</xdr:rowOff>
    </xdr:to>
    <xdr:sp macro="" textlink="'Pivot Tables'!C14">
      <xdr:nvSpPr>
        <xdr:cNvPr id="26" name="Rectangle 25">
          <a:extLst>
            <a:ext uri="{FF2B5EF4-FFF2-40B4-BE49-F238E27FC236}">
              <a16:creationId xmlns:a16="http://schemas.microsoft.com/office/drawing/2014/main" id="{C6B2531E-3233-10D0-6D51-ED7A03D6F857}"/>
            </a:ext>
          </a:extLst>
        </xdr:cNvPr>
        <xdr:cNvSpPr/>
      </xdr:nvSpPr>
      <xdr:spPr>
        <a:xfrm>
          <a:off x="20516" y="7874245"/>
          <a:ext cx="2874351" cy="813654"/>
        </a:xfrm>
        <a:prstGeom prst="rect">
          <a:avLst/>
        </a:prstGeom>
        <a:solidFill>
          <a:schemeClr val="accent3">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82EC6CA3-BC4F-46DF-95AF-66715F7193E2}" type="TxLink">
            <a:rPr lang="en-US" sz="2000" b="1" i="0" u="none" strike="noStrike">
              <a:solidFill>
                <a:schemeClr val="bg1"/>
              </a:solidFill>
              <a:latin typeface="Calibri"/>
              <a:ea typeface="Calibri"/>
              <a:cs typeface="Calibri"/>
            </a:rPr>
            <a:pPr algn="ctr"/>
            <a:t>25%</a:t>
          </a:fld>
          <a:endParaRPr lang="en-US" sz="2000" b="1">
            <a:solidFill>
              <a:schemeClr val="bg1"/>
            </a:solidFill>
          </a:endParaRPr>
        </a:p>
      </xdr:txBody>
    </xdr:sp>
    <xdr:clientData/>
  </xdr:twoCellAnchor>
  <xdr:twoCellAnchor>
    <xdr:from>
      <xdr:col>0</xdr:col>
      <xdr:colOff>300403</xdr:colOff>
      <xdr:row>43</xdr:row>
      <xdr:rowOff>56419</xdr:rowOff>
    </xdr:from>
    <xdr:to>
      <xdr:col>3</xdr:col>
      <xdr:colOff>535230</xdr:colOff>
      <xdr:row>45</xdr:row>
      <xdr:rowOff>94519</xdr:rowOff>
    </xdr:to>
    <xdr:sp macro="" textlink="">
      <xdr:nvSpPr>
        <xdr:cNvPr id="27" name="TextBox 26">
          <a:extLst>
            <a:ext uri="{FF2B5EF4-FFF2-40B4-BE49-F238E27FC236}">
              <a16:creationId xmlns:a16="http://schemas.microsoft.com/office/drawing/2014/main" id="{957356C7-9503-1B70-A092-CDA2AE4558F2}"/>
            </a:ext>
          </a:extLst>
        </xdr:cNvPr>
        <xdr:cNvSpPr txBox="1"/>
      </xdr:nvSpPr>
      <xdr:spPr>
        <a:xfrm>
          <a:off x="300403" y="7932862"/>
          <a:ext cx="2169135" cy="404446"/>
        </a:xfrm>
        <a:prstGeom prst="rect">
          <a:avLst/>
        </a:prstGeom>
        <a:solidFill>
          <a:schemeClr val="accent3">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latin typeface="Georgia" panose="02040502050405020303" pitchFamily="18" charset="0"/>
            </a:rPr>
            <a:t>Therapy</a:t>
          </a:r>
          <a:r>
            <a:rPr lang="en-US" sz="1400" b="1" baseline="0">
              <a:solidFill>
                <a:schemeClr val="bg1"/>
              </a:solidFill>
              <a:latin typeface="Georgia" panose="02040502050405020303" pitchFamily="18" charset="0"/>
            </a:rPr>
            <a:t> Treatment %</a:t>
          </a:r>
          <a:endParaRPr lang="en-US" sz="1400" b="1">
            <a:solidFill>
              <a:schemeClr val="bg1"/>
            </a:solidFill>
            <a:latin typeface="Georgia" panose="02040502050405020303" pitchFamily="18" charset="0"/>
          </a:endParaRPr>
        </a:p>
      </xdr:txBody>
    </xdr:sp>
    <xdr:clientData/>
  </xdr:twoCellAnchor>
  <xdr:twoCellAnchor editAs="oneCell">
    <xdr:from>
      <xdr:col>0</xdr:col>
      <xdr:colOff>417635</xdr:colOff>
      <xdr:row>4</xdr:row>
      <xdr:rowOff>59292</xdr:rowOff>
    </xdr:from>
    <xdr:to>
      <xdr:col>3</xdr:col>
      <xdr:colOff>241789</xdr:colOff>
      <xdr:row>14</xdr:row>
      <xdr:rowOff>13188</xdr:rowOff>
    </xdr:to>
    <xdr:pic>
      <xdr:nvPicPr>
        <xdr:cNvPr id="29" name="Picture 28" descr="Create logo for green valley hospital ...">
          <a:extLst>
            <a:ext uri="{FF2B5EF4-FFF2-40B4-BE49-F238E27FC236}">
              <a16:creationId xmlns:a16="http://schemas.microsoft.com/office/drawing/2014/main" id="{CA9F9DFB-94EB-F3A0-CD45-A71F6FE31C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7635" y="791984"/>
          <a:ext cx="1758462" cy="17856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364881</xdr:colOff>
      <xdr:row>3</xdr:row>
      <xdr:rowOff>124923</xdr:rowOff>
    </xdr:from>
    <xdr:to>
      <xdr:col>13</xdr:col>
      <xdr:colOff>43962</xdr:colOff>
      <xdr:row>22</xdr:row>
      <xdr:rowOff>124556</xdr:rowOff>
    </xdr:to>
    <xdr:sp macro="" textlink="">
      <xdr:nvSpPr>
        <xdr:cNvPr id="30" name="Rectangle 29">
          <a:extLst>
            <a:ext uri="{FF2B5EF4-FFF2-40B4-BE49-F238E27FC236}">
              <a16:creationId xmlns:a16="http://schemas.microsoft.com/office/drawing/2014/main" id="{DA7ED226-7C06-A2D3-3F86-E6971359B52A}"/>
            </a:ext>
          </a:extLst>
        </xdr:cNvPr>
        <xdr:cNvSpPr/>
      </xdr:nvSpPr>
      <xdr:spPr>
        <a:xfrm>
          <a:off x="2943958" y="674443"/>
          <a:ext cx="5482004" cy="3479921"/>
        </a:xfrm>
        <a:prstGeom prst="rect">
          <a:avLst/>
        </a:prstGeom>
        <a:solidFill>
          <a:schemeClr val="accent3">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70339</xdr:colOff>
      <xdr:row>3</xdr:row>
      <xdr:rowOff>116132</xdr:rowOff>
    </xdr:from>
    <xdr:to>
      <xdr:col>21</xdr:col>
      <xdr:colOff>130420</xdr:colOff>
      <xdr:row>22</xdr:row>
      <xdr:rowOff>131884</xdr:rowOff>
    </xdr:to>
    <xdr:sp macro="" textlink="">
      <xdr:nvSpPr>
        <xdr:cNvPr id="31" name="Rectangle 30">
          <a:extLst>
            <a:ext uri="{FF2B5EF4-FFF2-40B4-BE49-F238E27FC236}">
              <a16:creationId xmlns:a16="http://schemas.microsoft.com/office/drawing/2014/main" id="{5C26994B-88A7-EEF9-3B3A-4E7A39AA53C1}"/>
            </a:ext>
          </a:extLst>
        </xdr:cNvPr>
        <xdr:cNvSpPr/>
      </xdr:nvSpPr>
      <xdr:spPr>
        <a:xfrm>
          <a:off x="8452339" y="665652"/>
          <a:ext cx="5218235" cy="3496040"/>
        </a:xfrm>
        <a:prstGeom prst="rect">
          <a:avLst/>
        </a:prstGeom>
        <a:solidFill>
          <a:schemeClr val="accent3">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392723</xdr:colOff>
      <xdr:row>23</xdr:row>
      <xdr:rowOff>28208</xdr:rowOff>
    </xdr:from>
    <xdr:to>
      <xdr:col>10</xdr:col>
      <xdr:colOff>153865</xdr:colOff>
      <xdr:row>47</xdr:row>
      <xdr:rowOff>87923</xdr:rowOff>
    </xdr:to>
    <xdr:sp macro="" textlink="">
      <xdr:nvSpPr>
        <xdr:cNvPr id="32" name="Rectangle 31">
          <a:extLst>
            <a:ext uri="{FF2B5EF4-FFF2-40B4-BE49-F238E27FC236}">
              <a16:creationId xmlns:a16="http://schemas.microsoft.com/office/drawing/2014/main" id="{2A7EB71F-7E9D-E8DC-14A6-EEE02630711E}"/>
            </a:ext>
          </a:extLst>
        </xdr:cNvPr>
        <xdr:cNvSpPr/>
      </xdr:nvSpPr>
      <xdr:spPr>
        <a:xfrm>
          <a:off x="2971800" y="4241190"/>
          <a:ext cx="3629757" cy="4455868"/>
        </a:xfrm>
        <a:prstGeom prst="rect">
          <a:avLst/>
        </a:prstGeom>
        <a:solidFill>
          <a:schemeClr val="accent3">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219808</xdr:colOff>
      <xdr:row>23</xdr:row>
      <xdr:rowOff>12088</xdr:rowOff>
    </xdr:from>
    <xdr:to>
      <xdr:col>15</xdr:col>
      <xdr:colOff>388328</xdr:colOff>
      <xdr:row>47</xdr:row>
      <xdr:rowOff>58615</xdr:rowOff>
    </xdr:to>
    <xdr:sp macro="" textlink="">
      <xdr:nvSpPr>
        <xdr:cNvPr id="33" name="Rectangle 32">
          <a:extLst>
            <a:ext uri="{FF2B5EF4-FFF2-40B4-BE49-F238E27FC236}">
              <a16:creationId xmlns:a16="http://schemas.microsoft.com/office/drawing/2014/main" id="{6D207ABF-31BF-37C5-2BA3-2B53E7823BCC}"/>
            </a:ext>
          </a:extLst>
        </xdr:cNvPr>
        <xdr:cNvSpPr/>
      </xdr:nvSpPr>
      <xdr:spPr>
        <a:xfrm>
          <a:off x="6667500" y="4225070"/>
          <a:ext cx="3392366" cy="4442680"/>
        </a:xfrm>
        <a:prstGeom prst="rect">
          <a:avLst/>
        </a:prstGeom>
        <a:solidFill>
          <a:schemeClr val="accent3">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439618</xdr:colOff>
      <xdr:row>23</xdr:row>
      <xdr:rowOff>7326</xdr:rowOff>
    </xdr:from>
    <xdr:to>
      <xdr:col>21</xdr:col>
      <xdr:colOff>146540</xdr:colOff>
      <xdr:row>47</xdr:row>
      <xdr:rowOff>36634</xdr:rowOff>
    </xdr:to>
    <xdr:sp macro="" textlink="">
      <xdr:nvSpPr>
        <xdr:cNvPr id="34" name="Rectangle 33">
          <a:extLst>
            <a:ext uri="{FF2B5EF4-FFF2-40B4-BE49-F238E27FC236}">
              <a16:creationId xmlns:a16="http://schemas.microsoft.com/office/drawing/2014/main" id="{9D7CCB00-C82A-09CB-6B4B-5F839BEC9133}"/>
            </a:ext>
          </a:extLst>
        </xdr:cNvPr>
        <xdr:cNvSpPr/>
      </xdr:nvSpPr>
      <xdr:spPr>
        <a:xfrm>
          <a:off x="10111156" y="4220308"/>
          <a:ext cx="3575538" cy="4425461"/>
        </a:xfrm>
        <a:prstGeom prst="rect">
          <a:avLst/>
        </a:prstGeom>
        <a:solidFill>
          <a:schemeClr val="accent3">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454635</xdr:colOff>
      <xdr:row>4</xdr:row>
      <xdr:rowOff>171083</xdr:rowOff>
    </xdr:from>
    <xdr:to>
      <xdr:col>12</xdr:col>
      <xdr:colOff>80596</xdr:colOff>
      <xdr:row>7</xdr:row>
      <xdr:rowOff>7326</xdr:rowOff>
    </xdr:to>
    <xdr:sp macro="" textlink="">
      <xdr:nvSpPr>
        <xdr:cNvPr id="36" name="TextBox 35">
          <a:extLst>
            <a:ext uri="{FF2B5EF4-FFF2-40B4-BE49-F238E27FC236}">
              <a16:creationId xmlns:a16="http://schemas.microsoft.com/office/drawing/2014/main" id="{5ACC549C-E54F-CB29-41E3-DBC141B81740}"/>
            </a:ext>
          </a:extLst>
        </xdr:cNvPr>
        <xdr:cNvSpPr txBox="1"/>
      </xdr:nvSpPr>
      <xdr:spPr>
        <a:xfrm>
          <a:off x="3033712" y="903775"/>
          <a:ext cx="4784115" cy="385763"/>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accent3"/>
              </a:solidFill>
              <a:latin typeface="Georgia" panose="02040502050405020303" pitchFamily="18" charset="0"/>
            </a:rPr>
            <a:t>Avg.</a:t>
          </a:r>
          <a:r>
            <a:rPr lang="en-US" sz="1600" b="1" baseline="0">
              <a:solidFill>
                <a:schemeClr val="accent3"/>
              </a:solidFill>
              <a:latin typeface="Georgia" panose="02040502050405020303" pitchFamily="18" charset="0"/>
            </a:rPr>
            <a:t>treatment cost by Department</a:t>
          </a:r>
          <a:endParaRPr lang="en-US" sz="1600" b="1">
            <a:solidFill>
              <a:schemeClr val="accent3"/>
            </a:solidFill>
            <a:latin typeface="Georgia" panose="02040502050405020303" pitchFamily="18" charset="0"/>
          </a:endParaRPr>
        </a:p>
      </xdr:txBody>
    </xdr:sp>
    <xdr:clientData/>
  </xdr:twoCellAnchor>
  <xdr:twoCellAnchor>
    <xdr:from>
      <xdr:col>10</xdr:col>
      <xdr:colOff>284651</xdr:colOff>
      <xdr:row>24</xdr:row>
      <xdr:rowOff>154964</xdr:rowOff>
    </xdr:from>
    <xdr:to>
      <xdr:col>15</xdr:col>
      <xdr:colOff>285751</xdr:colOff>
      <xdr:row>26</xdr:row>
      <xdr:rowOff>153866</xdr:rowOff>
    </xdr:to>
    <xdr:sp macro="" textlink="">
      <xdr:nvSpPr>
        <xdr:cNvPr id="38" name="TextBox 37">
          <a:extLst>
            <a:ext uri="{FF2B5EF4-FFF2-40B4-BE49-F238E27FC236}">
              <a16:creationId xmlns:a16="http://schemas.microsoft.com/office/drawing/2014/main" id="{17A7A0ED-0F5F-EA3E-A6B0-4EC38F8752E1}"/>
            </a:ext>
          </a:extLst>
        </xdr:cNvPr>
        <xdr:cNvSpPr txBox="1"/>
      </xdr:nvSpPr>
      <xdr:spPr>
        <a:xfrm>
          <a:off x="6732343" y="4551118"/>
          <a:ext cx="3224946" cy="365248"/>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baseline="0">
              <a:solidFill>
                <a:schemeClr val="accent3"/>
              </a:solidFill>
              <a:latin typeface="Georgia" panose="02040502050405020303" pitchFamily="18" charset="0"/>
            </a:rPr>
            <a:t>Patient count by Department</a:t>
          </a:r>
          <a:endParaRPr lang="en-US" sz="1600" b="1">
            <a:solidFill>
              <a:schemeClr val="accent3"/>
            </a:solidFill>
            <a:latin typeface="Georgia" panose="02040502050405020303" pitchFamily="18" charset="0"/>
          </a:endParaRPr>
        </a:p>
      </xdr:txBody>
    </xdr:sp>
    <xdr:clientData/>
  </xdr:twoCellAnchor>
  <xdr:twoCellAnchor>
    <xdr:from>
      <xdr:col>13</xdr:col>
      <xdr:colOff>348762</xdr:colOff>
      <xdr:row>7</xdr:row>
      <xdr:rowOff>50190</xdr:rowOff>
    </xdr:from>
    <xdr:to>
      <xdr:col>20</xdr:col>
      <xdr:colOff>407377</xdr:colOff>
      <xdr:row>22</xdr:row>
      <xdr:rowOff>45794</xdr:rowOff>
    </xdr:to>
    <xdr:graphicFrame macro="">
      <xdr:nvGraphicFramePr>
        <xdr:cNvPr id="39" name="Chart 38">
          <a:extLst>
            <a:ext uri="{FF2B5EF4-FFF2-40B4-BE49-F238E27FC236}">
              <a16:creationId xmlns:a16="http://schemas.microsoft.com/office/drawing/2014/main" id="{BE21FC5E-56FA-4ADB-8559-D666327701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167420</xdr:colOff>
      <xdr:row>4</xdr:row>
      <xdr:rowOff>45060</xdr:rowOff>
    </xdr:from>
    <xdr:to>
      <xdr:col>20</xdr:col>
      <xdr:colOff>438150</xdr:colOff>
      <xdr:row>6</xdr:row>
      <xdr:rowOff>64477</xdr:rowOff>
    </xdr:to>
    <xdr:sp macro="" textlink="">
      <xdr:nvSpPr>
        <xdr:cNvPr id="40" name="TextBox 39">
          <a:extLst>
            <a:ext uri="{FF2B5EF4-FFF2-40B4-BE49-F238E27FC236}">
              <a16:creationId xmlns:a16="http://schemas.microsoft.com/office/drawing/2014/main" id="{CA97FCB5-4C20-FDEA-E9A5-A517DEF855A1}"/>
            </a:ext>
          </a:extLst>
        </xdr:cNvPr>
        <xdr:cNvSpPr txBox="1"/>
      </xdr:nvSpPr>
      <xdr:spPr>
        <a:xfrm>
          <a:off x="8549420" y="777752"/>
          <a:ext cx="4784115" cy="385763"/>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accent3"/>
              </a:solidFill>
              <a:latin typeface="Georgia" panose="02040502050405020303" pitchFamily="18" charset="0"/>
            </a:rPr>
            <a:t>Total Hospital Stay by Age</a:t>
          </a:r>
          <a:r>
            <a:rPr lang="en-US" sz="1600" b="1" baseline="0">
              <a:solidFill>
                <a:schemeClr val="accent3"/>
              </a:solidFill>
              <a:latin typeface="Georgia" panose="02040502050405020303" pitchFamily="18" charset="0"/>
            </a:rPr>
            <a:t> Group</a:t>
          </a:r>
          <a:endParaRPr lang="en-US" sz="1600" b="1">
            <a:solidFill>
              <a:schemeClr val="accent3"/>
            </a:solidFill>
            <a:latin typeface="Georgia" panose="02040502050405020303" pitchFamily="18" charset="0"/>
          </a:endParaRPr>
        </a:p>
      </xdr:txBody>
    </xdr:sp>
    <xdr:clientData/>
  </xdr:twoCellAnchor>
  <xdr:twoCellAnchor>
    <xdr:from>
      <xdr:col>4</xdr:col>
      <xdr:colOff>451338</xdr:colOff>
      <xdr:row>28</xdr:row>
      <xdr:rowOff>174747</xdr:rowOff>
    </xdr:from>
    <xdr:to>
      <xdr:col>10</xdr:col>
      <xdr:colOff>95250</xdr:colOff>
      <xdr:row>46</xdr:row>
      <xdr:rowOff>14652</xdr:rowOff>
    </xdr:to>
    <xdr:graphicFrame macro="">
      <xdr:nvGraphicFramePr>
        <xdr:cNvPr id="42" name="Chart 41">
          <a:extLst>
            <a:ext uri="{FF2B5EF4-FFF2-40B4-BE49-F238E27FC236}">
              <a16:creationId xmlns:a16="http://schemas.microsoft.com/office/drawing/2014/main" id="{C2409C17-CC4A-4BCF-8FC8-1AF15CD6FE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468924</xdr:colOff>
      <xdr:row>23</xdr:row>
      <xdr:rowOff>182805</xdr:rowOff>
    </xdr:from>
    <xdr:to>
      <xdr:col>9</xdr:col>
      <xdr:colOff>622789</xdr:colOff>
      <xdr:row>27</xdr:row>
      <xdr:rowOff>73268</xdr:rowOff>
    </xdr:to>
    <xdr:sp macro="" textlink="">
      <xdr:nvSpPr>
        <xdr:cNvPr id="43" name="TextBox 42">
          <a:extLst>
            <a:ext uri="{FF2B5EF4-FFF2-40B4-BE49-F238E27FC236}">
              <a16:creationId xmlns:a16="http://schemas.microsoft.com/office/drawing/2014/main" id="{C36CB56D-2C3B-9FBB-67EE-E4DB4A1D430C}"/>
            </a:ext>
          </a:extLst>
        </xdr:cNvPr>
        <xdr:cNvSpPr txBox="1"/>
      </xdr:nvSpPr>
      <xdr:spPr>
        <a:xfrm>
          <a:off x="3048001" y="4395787"/>
          <a:ext cx="3377711" cy="62315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baseline="0">
              <a:solidFill>
                <a:schemeClr val="accent3"/>
              </a:solidFill>
              <a:latin typeface="Georgia" panose="02040502050405020303" pitchFamily="18" charset="0"/>
            </a:rPr>
            <a:t>Patient recovery score by Age Group</a:t>
          </a:r>
          <a:endParaRPr lang="en-US" sz="1600" b="1">
            <a:solidFill>
              <a:schemeClr val="accent3"/>
            </a:solidFill>
            <a:latin typeface="Georgia" panose="02040502050405020303" pitchFamily="18" charset="0"/>
          </a:endParaRPr>
        </a:p>
      </xdr:txBody>
    </xdr:sp>
    <xdr:clientData/>
  </xdr:twoCellAnchor>
  <xdr:twoCellAnchor>
    <xdr:from>
      <xdr:col>15</xdr:col>
      <xdr:colOff>546954</xdr:colOff>
      <xdr:row>23</xdr:row>
      <xdr:rowOff>124190</xdr:rowOff>
    </xdr:from>
    <xdr:to>
      <xdr:col>20</xdr:col>
      <xdr:colOff>357552</xdr:colOff>
      <xdr:row>26</xdr:row>
      <xdr:rowOff>146538</xdr:rowOff>
    </xdr:to>
    <xdr:sp macro="" textlink="">
      <xdr:nvSpPr>
        <xdr:cNvPr id="45" name="TextBox 44">
          <a:extLst>
            <a:ext uri="{FF2B5EF4-FFF2-40B4-BE49-F238E27FC236}">
              <a16:creationId xmlns:a16="http://schemas.microsoft.com/office/drawing/2014/main" id="{BDAF3A36-BFB7-6C94-5CAC-2BD4D49EF83A}"/>
            </a:ext>
          </a:extLst>
        </xdr:cNvPr>
        <xdr:cNvSpPr txBox="1"/>
      </xdr:nvSpPr>
      <xdr:spPr>
        <a:xfrm>
          <a:off x="10218492" y="4337172"/>
          <a:ext cx="3034445" cy="571866"/>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baseline="0">
              <a:solidFill>
                <a:schemeClr val="accent3"/>
              </a:solidFill>
              <a:latin typeface="Georgia" panose="02040502050405020303" pitchFamily="18" charset="0"/>
            </a:rPr>
            <a:t>Avg Hospital stay by Department</a:t>
          </a:r>
          <a:endParaRPr lang="en-US" sz="1600" b="1">
            <a:solidFill>
              <a:schemeClr val="accent3"/>
            </a:solidFill>
            <a:latin typeface="Georgia" panose="02040502050405020303" pitchFamily="18" charset="0"/>
          </a:endParaRPr>
        </a:p>
      </xdr:txBody>
    </xdr:sp>
    <xdr:clientData/>
  </xdr:twoCellAnchor>
  <xdr:twoCellAnchor editAs="oneCell">
    <xdr:from>
      <xdr:col>21</xdr:col>
      <xdr:colOff>219808</xdr:colOff>
      <xdr:row>4</xdr:row>
      <xdr:rowOff>0</xdr:rowOff>
    </xdr:from>
    <xdr:to>
      <xdr:col>24</xdr:col>
      <xdr:colOff>114300</xdr:colOff>
      <xdr:row>11</xdr:row>
      <xdr:rowOff>153864</xdr:rowOff>
    </xdr:to>
    <mc:AlternateContent xmlns:mc="http://schemas.openxmlformats.org/markup-compatibility/2006" xmlns:a14="http://schemas.microsoft.com/office/drawing/2010/main">
      <mc:Choice Requires="a14">
        <xdr:graphicFrame macro="">
          <xdr:nvGraphicFramePr>
            <xdr:cNvPr id="53" name="Gender">
              <a:extLst>
                <a:ext uri="{FF2B5EF4-FFF2-40B4-BE49-F238E27FC236}">
                  <a16:creationId xmlns:a16="http://schemas.microsoft.com/office/drawing/2014/main" id="{2F735A9B-224D-4D5C-BA35-F19E11D4ECE3}"/>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3759962" y="732692"/>
              <a:ext cx="1828800" cy="14360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205153</xdr:colOff>
      <xdr:row>12</xdr:row>
      <xdr:rowOff>36636</xdr:rowOff>
    </xdr:from>
    <xdr:to>
      <xdr:col>24</xdr:col>
      <xdr:colOff>109902</xdr:colOff>
      <xdr:row>20</xdr:row>
      <xdr:rowOff>0</xdr:rowOff>
    </xdr:to>
    <mc:AlternateContent xmlns:mc="http://schemas.openxmlformats.org/markup-compatibility/2006" xmlns:a14="http://schemas.microsoft.com/office/drawing/2010/main">
      <mc:Choice Requires="a14">
        <xdr:graphicFrame macro="">
          <xdr:nvGraphicFramePr>
            <xdr:cNvPr id="57" name="Treatment Type">
              <a:extLst>
                <a:ext uri="{FF2B5EF4-FFF2-40B4-BE49-F238E27FC236}">
                  <a16:creationId xmlns:a16="http://schemas.microsoft.com/office/drawing/2014/main" id="{FF100DE2-3BB0-41C9-80AF-A9FBC8A24D2B}"/>
                </a:ext>
              </a:extLst>
            </xdr:cNvPr>
            <xdr:cNvGraphicFramePr/>
          </xdr:nvGraphicFramePr>
          <xdr:xfrm>
            <a:off x="0" y="0"/>
            <a:ext cx="0" cy="0"/>
          </xdr:xfrm>
          <a:graphic>
            <a:graphicData uri="http://schemas.microsoft.com/office/drawing/2010/slicer">
              <sle:slicer xmlns:sle="http://schemas.microsoft.com/office/drawing/2010/slicer" name="Treatment Type"/>
            </a:graphicData>
          </a:graphic>
        </xdr:graphicFrame>
      </mc:Choice>
      <mc:Fallback xmlns="">
        <xdr:sp macro="" textlink="">
          <xdr:nvSpPr>
            <xdr:cNvPr id="0" name=""/>
            <xdr:cNvSpPr>
              <a:spLocks noTextEdit="1"/>
            </xdr:cNvSpPr>
          </xdr:nvSpPr>
          <xdr:spPr>
            <a:xfrm>
              <a:off x="13745307" y="2234713"/>
              <a:ext cx="1839057" cy="14287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197826</xdr:colOff>
      <xdr:row>34</xdr:row>
      <xdr:rowOff>51291</xdr:rowOff>
    </xdr:from>
    <xdr:to>
      <xdr:col>24</xdr:col>
      <xdr:colOff>92318</xdr:colOff>
      <xdr:row>47</xdr:row>
      <xdr:rowOff>29309</xdr:rowOff>
    </xdr:to>
    <mc:AlternateContent xmlns:mc="http://schemas.openxmlformats.org/markup-compatibility/2006" xmlns:a14="http://schemas.microsoft.com/office/drawing/2010/main">
      <mc:Choice Requires="a14">
        <xdr:graphicFrame macro="">
          <xdr:nvGraphicFramePr>
            <xdr:cNvPr id="60" name="Doctor Name">
              <a:extLst>
                <a:ext uri="{FF2B5EF4-FFF2-40B4-BE49-F238E27FC236}">
                  <a16:creationId xmlns:a16="http://schemas.microsoft.com/office/drawing/2014/main" id="{92750F0A-FA7C-43DC-8975-7F846BCC5020}"/>
                </a:ext>
              </a:extLst>
            </xdr:cNvPr>
            <xdr:cNvGraphicFramePr/>
          </xdr:nvGraphicFramePr>
          <xdr:xfrm>
            <a:off x="0" y="0"/>
            <a:ext cx="0" cy="0"/>
          </xdr:xfrm>
          <a:graphic>
            <a:graphicData uri="http://schemas.microsoft.com/office/drawing/2010/slicer">
              <sle:slicer xmlns:sle="http://schemas.microsoft.com/office/drawing/2010/slicer" name="Doctor Name"/>
            </a:graphicData>
          </a:graphic>
        </xdr:graphicFrame>
      </mc:Choice>
      <mc:Fallback xmlns="">
        <xdr:sp macro="" textlink="">
          <xdr:nvSpPr>
            <xdr:cNvPr id="0" name=""/>
            <xdr:cNvSpPr>
              <a:spLocks noTextEdit="1"/>
            </xdr:cNvSpPr>
          </xdr:nvSpPr>
          <xdr:spPr>
            <a:xfrm>
              <a:off x="13737980" y="6279176"/>
              <a:ext cx="1828800" cy="23592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474784</xdr:colOff>
      <xdr:row>7</xdr:row>
      <xdr:rowOff>66308</xdr:rowOff>
    </xdr:from>
    <xdr:to>
      <xdr:col>11</xdr:col>
      <xdr:colOff>533399</xdr:colOff>
      <xdr:row>22</xdr:row>
      <xdr:rowOff>61912</xdr:rowOff>
    </xdr:to>
    <xdr:graphicFrame macro="">
      <xdr:nvGraphicFramePr>
        <xdr:cNvPr id="61" name="Chart 60">
          <a:extLst>
            <a:ext uri="{FF2B5EF4-FFF2-40B4-BE49-F238E27FC236}">
              <a16:creationId xmlns:a16="http://schemas.microsoft.com/office/drawing/2014/main" id="{D1848446-CB9E-412D-A675-0B73A02FDC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263769</xdr:colOff>
      <xdr:row>29</xdr:row>
      <xdr:rowOff>4761</xdr:rowOff>
    </xdr:from>
    <xdr:to>
      <xdr:col>15</xdr:col>
      <xdr:colOff>300404</xdr:colOff>
      <xdr:row>45</xdr:row>
      <xdr:rowOff>146538</xdr:rowOff>
    </xdr:to>
    <xdr:graphicFrame macro="">
      <xdr:nvGraphicFramePr>
        <xdr:cNvPr id="62" name="Chart 61">
          <a:extLst>
            <a:ext uri="{FF2B5EF4-FFF2-40B4-BE49-F238E27FC236}">
              <a16:creationId xmlns:a16="http://schemas.microsoft.com/office/drawing/2014/main" id="{2D249B65-AC68-47C8-BF84-08BB3A7B8E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483579</xdr:colOff>
      <xdr:row>27</xdr:row>
      <xdr:rowOff>175846</xdr:rowOff>
    </xdr:from>
    <xdr:to>
      <xdr:col>21</xdr:col>
      <xdr:colOff>109903</xdr:colOff>
      <xdr:row>44</xdr:row>
      <xdr:rowOff>183173</xdr:rowOff>
    </xdr:to>
    <mc:AlternateContent xmlns:mc="http://schemas.openxmlformats.org/markup-compatibility/2006">
      <mc:Choice xmlns:cx2="http://schemas.microsoft.com/office/drawing/2015/10/21/chartex" Requires="cx2">
        <xdr:graphicFrame macro="">
          <xdr:nvGraphicFramePr>
            <xdr:cNvPr id="4" name="Chart 3">
              <a:extLst>
                <a:ext uri="{FF2B5EF4-FFF2-40B4-BE49-F238E27FC236}">
                  <a16:creationId xmlns:a16="http://schemas.microsoft.com/office/drawing/2014/main" id="{3261E46C-4C84-4923-BE48-44B5C675465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9627579" y="5319346"/>
              <a:ext cx="3283924" cy="324582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21</xdr:col>
      <xdr:colOff>183173</xdr:colOff>
      <xdr:row>20</xdr:row>
      <xdr:rowOff>58616</xdr:rowOff>
    </xdr:from>
    <xdr:to>
      <xdr:col>24</xdr:col>
      <xdr:colOff>77664</xdr:colOff>
      <xdr:row>34</xdr:row>
      <xdr:rowOff>18318</xdr:rowOff>
    </xdr:to>
    <mc:AlternateContent xmlns:mc="http://schemas.openxmlformats.org/markup-compatibility/2006" xmlns:a14="http://schemas.microsoft.com/office/drawing/2010/main">
      <mc:Choice Requires="a14">
        <xdr:graphicFrame macro="">
          <xdr:nvGraphicFramePr>
            <xdr:cNvPr id="7" name="Department">
              <a:extLst>
                <a:ext uri="{FF2B5EF4-FFF2-40B4-BE49-F238E27FC236}">
                  <a16:creationId xmlns:a16="http://schemas.microsoft.com/office/drawing/2014/main" id="{424D1784-0C55-45C6-964F-730610CF5270}"/>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3723327" y="3722078"/>
              <a:ext cx="1828799"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63.40488321759" createdVersion="8" refreshedVersion="8" minRefreshableVersion="3" recordCount="400" xr:uid="{D21CA307-605A-4959-93FF-548708A28549}">
  <cacheSource type="worksheet">
    <worksheetSource name="Table1"/>
  </cacheSource>
  <cacheFields count="13">
    <cacheField name="Patient ID" numFmtId="0">
      <sharedItems count="400">
        <s v="P1001"/>
        <s v="P1002"/>
        <s v="P1003"/>
        <s v="P1004"/>
        <s v="P1005"/>
        <s v="P1006"/>
        <s v="P1007"/>
        <s v="P1008"/>
        <s v="P1009"/>
        <s v="P1010"/>
        <s v="P1011"/>
        <s v="P1012"/>
        <s v="P1013"/>
        <s v="P1014"/>
        <s v="P1015"/>
        <s v="P1016"/>
        <s v="P1017"/>
        <s v="P1018"/>
        <s v="P1019"/>
        <s v="P1020"/>
        <s v="P1021"/>
        <s v="P1022"/>
        <s v="P1023"/>
        <s v="P1024"/>
        <s v="P1025"/>
        <s v="P1026"/>
        <s v="P1027"/>
        <s v="P1028"/>
        <s v="P1029"/>
        <s v="P1030"/>
        <s v="P1031"/>
        <s v="P1032"/>
        <s v="P1033"/>
        <s v="P1034"/>
        <s v="P1035"/>
        <s v="P1036"/>
        <s v="P1037"/>
        <s v="P1038"/>
        <s v="P1039"/>
        <s v="P1040"/>
        <s v="P1041"/>
        <s v="P1042"/>
        <s v="P1043"/>
        <s v="P1044"/>
        <s v="P1045"/>
        <s v="P1046"/>
        <s v="P1047"/>
        <s v="P1048"/>
        <s v="P1049"/>
        <s v="P1050"/>
        <s v="P1051"/>
        <s v="P1052"/>
        <s v="P1053"/>
        <s v="P1054"/>
        <s v="P1055"/>
        <s v="P1056"/>
        <s v="P1057"/>
        <s v="P1058"/>
        <s v="P1059"/>
        <s v="P1060"/>
        <s v="P1061"/>
        <s v="P1062"/>
        <s v="P1063"/>
        <s v="P1064"/>
        <s v="P1065"/>
        <s v="P1066"/>
        <s v="P1067"/>
        <s v="P1068"/>
        <s v="P1069"/>
        <s v="P1070"/>
        <s v="P1071"/>
        <s v="P1072"/>
        <s v="P1073"/>
        <s v="P1074"/>
        <s v="P1075"/>
        <s v="P1076"/>
        <s v="P1077"/>
        <s v="P1078"/>
        <s v="P1079"/>
        <s v="P1080"/>
        <s v="P1081"/>
        <s v="P1082"/>
        <s v="P1083"/>
        <s v="P1084"/>
        <s v="P1085"/>
        <s v="P1086"/>
        <s v="P1087"/>
        <s v="P1088"/>
        <s v="P1089"/>
        <s v="P1090"/>
        <s v="P1091"/>
        <s v="P1092"/>
        <s v="P1093"/>
        <s v="P1094"/>
        <s v="P1095"/>
        <s v="P1096"/>
        <s v="P1097"/>
        <s v="P1098"/>
        <s v="P1099"/>
        <s v="P1100"/>
        <s v="P1101"/>
        <s v="P1102"/>
        <s v="P1103"/>
        <s v="P1104"/>
        <s v="P1105"/>
        <s v="P1106"/>
        <s v="P1107"/>
        <s v="P1108"/>
        <s v="P1109"/>
        <s v="P1110"/>
        <s v="P1111"/>
        <s v="P1112"/>
        <s v="P1113"/>
        <s v="P1114"/>
        <s v="P1115"/>
        <s v="P1116"/>
        <s v="P1117"/>
        <s v="P1118"/>
        <s v="P1119"/>
        <s v="P1120"/>
        <s v="P1121"/>
        <s v="P1122"/>
        <s v="P1123"/>
        <s v="P1124"/>
        <s v="P1125"/>
        <s v="P1126"/>
        <s v="P1127"/>
        <s v="P1128"/>
        <s v="P1129"/>
        <s v="P1130"/>
        <s v="P1131"/>
        <s v="P1132"/>
        <s v="P1133"/>
        <s v="P1134"/>
        <s v="P1135"/>
        <s v="P1136"/>
        <s v="P1137"/>
        <s v="P1138"/>
        <s v="P1139"/>
        <s v="P1140"/>
        <s v="P1141"/>
        <s v="P1142"/>
        <s v="P1143"/>
        <s v="P1144"/>
        <s v="P1145"/>
        <s v="P1146"/>
        <s v="P1147"/>
        <s v="P1148"/>
        <s v="P1149"/>
        <s v="P1150"/>
        <s v="P1151"/>
        <s v="P1152"/>
        <s v="P1153"/>
        <s v="P1154"/>
        <s v="P1155"/>
        <s v="P1156"/>
        <s v="P1157"/>
        <s v="P1158"/>
        <s v="P1159"/>
        <s v="P1160"/>
        <s v="P1161"/>
        <s v="P1162"/>
        <s v="P1163"/>
        <s v="P1164"/>
        <s v="P1165"/>
        <s v="P1166"/>
        <s v="P1167"/>
        <s v="P1168"/>
        <s v="P1169"/>
        <s v="P1170"/>
        <s v="P1171"/>
        <s v="P1172"/>
        <s v="P1173"/>
        <s v="P1174"/>
        <s v="P1175"/>
        <s v="P1176"/>
        <s v="P1177"/>
        <s v="P1178"/>
        <s v="P1179"/>
        <s v="P1180"/>
        <s v="P1181"/>
        <s v="P1182"/>
        <s v="P1183"/>
        <s v="P1184"/>
        <s v="P1185"/>
        <s v="P1186"/>
        <s v="P1187"/>
        <s v="P1188"/>
        <s v="P1189"/>
        <s v="P1190"/>
        <s v="P1191"/>
        <s v="P1192"/>
        <s v="P1193"/>
        <s v="P1194"/>
        <s v="P1195"/>
        <s v="P1196"/>
        <s v="P1197"/>
        <s v="P1198"/>
        <s v="P1199"/>
        <s v="P1200"/>
        <s v="P1201"/>
        <s v="P1202"/>
        <s v="P1203"/>
        <s v="P1204"/>
        <s v="P1205"/>
        <s v="P1206"/>
        <s v="P1207"/>
        <s v="P1208"/>
        <s v="P1209"/>
        <s v="P1210"/>
        <s v="P1211"/>
        <s v="P1212"/>
        <s v="P1213"/>
        <s v="P1214"/>
        <s v="P1215"/>
        <s v="P1216"/>
        <s v="P1217"/>
        <s v="P1218"/>
        <s v="P1219"/>
        <s v="P1220"/>
        <s v="P1221"/>
        <s v="P1222"/>
        <s v="P1223"/>
        <s v="P1224"/>
        <s v="P1225"/>
        <s v="P1226"/>
        <s v="P1227"/>
        <s v="P1228"/>
        <s v="P1229"/>
        <s v="P1230"/>
        <s v="P1231"/>
        <s v="P1232"/>
        <s v="P1233"/>
        <s v="P1234"/>
        <s v="P1235"/>
        <s v="P1236"/>
        <s v="P1237"/>
        <s v="P1238"/>
        <s v="P1239"/>
        <s v="P1240"/>
        <s v="P1241"/>
        <s v="P1242"/>
        <s v="P1243"/>
        <s v="P1244"/>
        <s v="P1245"/>
        <s v="P1246"/>
        <s v="P1247"/>
        <s v="P1248"/>
        <s v="P1249"/>
        <s v="P1250"/>
        <s v="P1251"/>
        <s v="P1252"/>
        <s v="P1253"/>
        <s v="P1254"/>
        <s v="P1255"/>
        <s v="P1256"/>
        <s v="P1257"/>
        <s v="P1258"/>
        <s v="P1259"/>
        <s v="P1260"/>
        <s v="P1261"/>
        <s v="P1262"/>
        <s v="P1263"/>
        <s v="P1264"/>
        <s v="P1265"/>
        <s v="P1266"/>
        <s v="P1267"/>
        <s v="P1268"/>
        <s v="P1269"/>
        <s v="P1270"/>
        <s v="P1271"/>
        <s v="P1272"/>
        <s v="P1273"/>
        <s v="P1274"/>
        <s v="P1275"/>
        <s v="P1276"/>
        <s v="P1277"/>
        <s v="P1278"/>
        <s v="P1279"/>
        <s v="P1280"/>
        <s v="P1281"/>
        <s v="P1282"/>
        <s v="P1283"/>
        <s v="P1284"/>
        <s v="P1285"/>
        <s v="P1286"/>
        <s v="P1287"/>
        <s v="P1288"/>
        <s v="P1289"/>
        <s v="P1290"/>
        <s v="P1291"/>
        <s v="P1292"/>
        <s v="P1293"/>
        <s v="P1294"/>
        <s v="P1295"/>
        <s v="P1296"/>
        <s v="P1297"/>
        <s v="P1298"/>
        <s v="P1299"/>
        <s v="P1300"/>
        <s v="P1301"/>
        <s v="P1302"/>
        <s v="P1303"/>
        <s v="P1304"/>
        <s v="P1305"/>
        <s v="P1306"/>
        <s v="P1307"/>
        <s v="P1308"/>
        <s v="P1309"/>
        <s v="P1310"/>
        <s v="P1311"/>
        <s v="P1312"/>
        <s v="P1313"/>
        <s v="P1314"/>
        <s v="P1315"/>
        <s v="P1316"/>
        <s v="P1317"/>
        <s v="P1318"/>
        <s v="P1319"/>
        <s v="P1320"/>
        <s v="P1321"/>
        <s v="P1322"/>
        <s v="P1323"/>
        <s v="P1324"/>
        <s v="P1325"/>
        <s v="P1326"/>
        <s v="P1327"/>
        <s v="P1328"/>
        <s v="P1329"/>
        <s v="P1330"/>
        <s v="P1331"/>
        <s v="P1332"/>
        <s v="P1333"/>
        <s v="P1334"/>
        <s v="P1335"/>
        <s v="P1336"/>
        <s v="P1337"/>
        <s v="P1338"/>
        <s v="P1339"/>
        <s v="P1340"/>
        <s v="P1341"/>
        <s v="P1342"/>
        <s v="P1343"/>
        <s v="P1344"/>
        <s v="P1345"/>
        <s v="P1346"/>
        <s v="P1347"/>
        <s v="P1348"/>
        <s v="P1349"/>
        <s v="P1350"/>
        <s v="P1351"/>
        <s v="P1352"/>
        <s v="P1353"/>
        <s v="P1354"/>
        <s v="P1355"/>
        <s v="P1356"/>
        <s v="P1357"/>
        <s v="P1358"/>
        <s v="P1359"/>
        <s v="P1360"/>
        <s v="P1361"/>
        <s v="P1362"/>
        <s v="P1363"/>
        <s v="P1364"/>
        <s v="P1365"/>
        <s v="P1366"/>
        <s v="P1367"/>
        <s v="P1368"/>
        <s v="P1369"/>
        <s v="P1370"/>
        <s v="P1371"/>
        <s v="P1372"/>
        <s v="P1373"/>
        <s v="P1374"/>
        <s v="P1375"/>
        <s v="P1376"/>
        <s v="P1377"/>
        <s v="P1378"/>
        <s v="P1379"/>
        <s v="P1380"/>
        <s v="P1381"/>
        <s v="P1382"/>
        <s v="P1383"/>
        <s v="P1384"/>
        <s v="P1385"/>
        <s v="P1386"/>
        <s v="P1387"/>
        <s v="P1388"/>
        <s v="P1389"/>
        <s v="P1390"/>
        <s v="P1391"/>
        <s v="P1392"/>
        <s v="P1393"/>
        <s v="P1394"/>
        <s v="P1395"/>
        <s v="P1396"/>
        <s v="P1397"/>
        <s v="P1398"/>
        <s v="P1399"/>
        <s v="P1400"/>
      </sharedItems>
    </cacheField>
    <cacheField name="Department" numFmtId="0">
      <sharedItems count="7">
        <s v="Dermatology"/>
        <s v="Cardiology"/>
        <s v="Oncology"/>
        <s v="Orthopedics"/>
        <s v="Pediatrics"/>
        <s v="Neurology"/>
        <s v="General Medicine"/>
      </sharedItems>
    </cacheField>
    <cacheField name="Treatment Type" numFmtId="0">
      <sharedItems count="4">
        <s v="Surgery"/>
        <s v="Observation"/>
        <s v="Therapy"/>
        <s v="Medication"/>
      </sharedItems>
    </cacheField>
    <cacheField name="Doctor Name" numFmtId="0">
      <sharedItems count="10">
        <s v="Dr. Smith"/>
        <s v="Dr. Martinez"/>
        <s v="Dr. Rodriguez"/>
        <s v="Dr. Jones"/>
        <s v="Dr. Garcia"/>
        <s v="Dr. Johnson"/>
        <s v="Dr. Davis"/>
        <s v="Dr. Williams"/>
        <s v="Dr. Miller"/>
        <s v="Dr. Brown"/>
      </sharedItems>
    </cacheField>
    <cacheField name="Gender" numFmtId="0">
      <sharedItems count="3">
        <s v="Female"/>
        <s v="Male"/>
        <s v="Other"/>
      </sharedItems>
    </cacheField>
    <cacheField name="Age" numFmtId="1">
      <sharedItems containsSemiMixedTypes="0" containsString="0" containsNumber="1" containsInteger="1" minValue="1" maxValue="90" count="88">
        <n v="32"/>
        <n v="4"/>
        <n v="84"/>
        <n v="1"/>
        <n v="44"/>
        <n v="6"/>
        <n v="81"/>
        <n v="38"/>
        <n v="47"/>
        <n v="22"/>
        <n v="82"/>
        <n v="5"/>
        <n v="41"/>
        <n v="29"/>
        <n v="21"/>
        <n v="60"/>
        <n v="69"/>
        <n v="65"/>
        <n v="9"/>
        <n v="89"/>
        <n v="58"/>
        <n v="30"/>
        <n v="28"/>
        <n v="53"/>
        <n v="55"/>
        <n v="71"/>
        <n v="31"/>
        <n v="72"/>
        <n v="8"/>
        <n v="80"/>
        <n v="10"/>
        <n v="57"/>
        <n v="85"/>
        <n v="37"/>
        <n v="33"/>
        <n v="17"/>
        <n v="48"/>
        <n v="90"/>
        <n v="59"/>
        <n v="25"/>
        <n v="66"/>
        <n v="34"/>
        <n v="86"/>
        <n v="54"/>
        <n v="52"/>
        <n v="78"/>
        <n v="74"/>
        <n v="11"/>
        <n v="50"/>
        <n v="46"/>
        <n v="56"/>
        <n v="18"/>
        <n v="3"/>
        <n v="15"/>
        <n v="49"/>
        <n v="39"/>
        <n v="14"/>
        <n v="67"/>
        <n v="76"/>
        <n v="42"/>
        <n v="77"/>
        <n v="62"/>
        <n v="2"/>
        <n v="88"/>
        <n v="16"/>
        <n v="13"/>
        <n v="23"/>
        <n v="61"/>
        <n v="19"/>
        <n v="73"/>
        <n v="7"/>
        <n v="27"/>
        <n v="45"/>
        <n v="64"/>
        <n v="35"/>
        <n v="51"/>
        <n v="87"/>
        <n v="63"/>
        <n v="79"/>
        <n v="68"/>
        <n v="12"/>
        <n v="43"/>
        <n v="24"/>
        <n v="70"/>
        <n v="26"/>
        <n v="40"/>
        <n v="83"/>
        <n v="75"/>
      </sharedItems>
    </cacheField>
    <cacheField name="Age Band" numFmtId="1">
      <sharedItems count="7">
        <s v="Adult"/>
        <s v="Infant"/>
        <s v="Elderly"/>
        <s v="Child"/>
        <s v="Middle Age"/>
        <s v="Youth"/>
        <s v="Teenager"/>
      </sharedItems>
    </cacheField>
    <cacheField name="Treatment Cost" numFmtId="0">
      <sharedItems containsSemiMixedTypes="0" containsString="0" containsNumber="1" containsInteger="1" minValue="219" maxValue="19824" count="390">
        <n v="8657"/>
        <n v="6535"/>
        <n v="16490"/>
        <n v="1754"/>
        <n v="1837"/>
        <n v="6977"/>
        <n v="1466"/>
        <n v="6307"/>
        <n v="2332"/>
        <n v="5375"/>
        <n v="1609"/>
        <n v="3584"/>
        <n v="2241"/>
        <n v="1725"/>
        <n v="483"/>
        <n v="17977"/>
        <n v="13669"/>
        <n v="17302"/>
        <n v="4716"/>
        <n v="1871"/>
        <n v="4918"/>
        <n v="3519"/>
        <n v="17461"/>
        <n v="2671"/>
        <n v="2147"/>
        <n v="1991"/>
        <n v="5820"/>
        <n v="19084"/>
        <n v="4917"/>
        <n v="589"/>
        <n v="1969"/>
        <n v="18116"/>
        <n v="2003"/>
        <n v="6604"/>
        <n v="7724"/>
        <n v="3604"/>
        <n v="1555"/>
        <n v="4941"/>
        <n v="18970"/>
        <n v="16062"/>
        <n v="1171"/>
        <n v="2955"/>
        <n v="1076"/>
        <n v="9345"/>
        <n v="4950"/>
        <n v="6697"/>
        <n v="14909"/>
        <n v="916"/>
        <n v="6219"/>
        <n v="219"/>
        <n v="1713"/>
        <n v="3931"/>
        <n v="15168"/>
        <n v="1385"/>
        <n v="3764"/>
        <n v="11548"/>
        <n v="7925"/>
        <n v="12149"/>
        <n v="1651"/>
        <n v="3204"/>
        <n v="11691"/>
        <n v="6447"/>
        <n v="4988"/>
        <n v="3139"/>
        <n v="1194"/>
        <n v="6511"/>
        <n v="4392"/>
        <n v="598"/>
        <n v="1608"/>
        <n v="13486"/>
        <n v="4851"/>
        <n v="1073"/>
        <n v="1920"/>
        <n v="1661"/>
        <n v="2133"/>
        <n v="3210"/>
        <n v="19824"/>
        <n v="811"/>
        <n v="4478"/>
        <n v="1474"/>
        <n v="19202"/>
        <n v="3677"/>
        <n v="4852"/>
        <n v="17799"/>
        <n v="15179"/>
        <n v="1152"/>
        <n v="2341"/>
        <n v="11498"/>
        <n v="1491"/>
        <n v="1564"/>
        <n v="12102"/>
        <n v="1532"/>
        <n v="749"/>
        <n v="17295"/>
        <n v="572"/>
        <n v="6744"/>
        <n v="4502"/>
        <n v="390"/>
        <n v="4376"/>
        <n v="1129"/>
        <n v="1479"/>
        <n v="2765"/>
        <n v="2863"/>
        <n v="5893"/>
        <n v="2829"/>
        <n v="4913"/>
        <n v="309"/>
        <n v="5571"/>
        <n v="2935"/>
        <n v="17496"/>
        <n v="5521"/>
        <n v="796"/>
        <n v="3167"/>
        <n v="1084"/>
        <n v="3364"/>
        <n v="5423"/>
        <n v="9102"/>
        <n v="12708"/>
        <n v="6200"/>
        <n v="1856"/>
        <n v="1866"/>
        <n v="17657"/>
        <n v="8073"/>
        <n v="746"/>
        <n v="1446"/>
        <n v="1763"/>
        <n v="13337"/>
        <n v="496"/>
        <n v="3284"/>
        <n v="14501"/>
        <n v="3223"/>
        <n v="1628"/>
        <n v="3623"/>
        <n v="4614"/>
        <n v="5251"/>
        <n v="3273"/>
        <n v="11226"/>
        <n v="680"/>
        <n v="1323"/>
        <n v="3403"/>
        <n v="1975"/>
        <n v="1394"/>
        <n v="4811"/>
        <n v="2950"/>
        <n v="1947"/>
        <n v="1632"/>
        <n v="1793"/>
        <n v="1443"/>
        <n v="1620"/>
        <n v="14495"/>
        <n v="7877"/>
        <n v="2347"/>
        <n v="1616"/>
        <n v="228"/>
        <n v="736"/>
        <n v="1205"/>
        <n v="2975"/>
        <n v="6902"/>
        <n v="4925"/>
        <n v="3843"/>
        <n v="3971"/>
        <n v="2000"/>
        <n v="3232"/>
        <n v="2197"/>
        <n v="523"/>
        <n v="2079"/>
        <n v="2673"/>
        <n v="1175"/>
        <n v="5710"/>
        <n v="1935"/>
        <n v="6204"/>
        <n v="4992"/>
        <n v="1812"/>
        <n v="3889"/>
        <n v="1562"/>
        <n v="5600"/>
        <n v="17292"/>
        <n v="5734"/>
        <n v="1931"/>
        <n v="5595"/>
        <n v="3531"/>
        <n v="1070"/>
        <n v="11163"/>
        <n v="1195"/>
        <n v="11947"/>
        <n v="433"/>
        <n v="3526"/>
        <n v="17572"/>
        <n v="4527"/>
        <n v="3401"/>
        <n v="19124"/>
        <n v="242"/>
        <n v="698"/>
        <n v="8630"/>
        <n v="13355"/>
        <n v="3096"/>
        <n v="4547"/>
        <n v="861"/>
        <n v="820"/>
        <n v="4702"/>
        <n v="6038"/>
        <n v="15679"/>
        <n v="1122"/>
        <n v="9059"/>
        <n v="3673"/>
        <n v="14141"/>
        <n v="1667"/>
        <n v="834"/>
        <n v="5312"/>
        <n v="832"/>
        <n v="517"/>
        <n v="5618"/>
        <n v="1981"/>
        <n v="1673"/>
        <n v="3535"/>
        <n v="1229"/>
        <n v="927"/>
        <n v="6374"/>
        <n v="4195"/>
        <n v="11326"/>
        <n v="10493"/>
        <n v="6779"/>
        <n v="18680"/>
        <n v="816"/>
        <n v="1913"/>
        <n v="9772"/>
        <n v="6442"/>
        <n v="14079"/>
        <n v="719"/>
        <n v="15293"/>
        <n v="3773"/>
        <n v="329"/>
        <n v="19512"/>
        <n v="1742"/>
        <n v="3238"/>
        <n v="894"/>
        <n v="13937"/>
        <n v="12305"/>
        <n v="3388"/>
        <n v="10952"/>
        <n v="4089"/>
        <n v="765"/>
        <n v="1375"/>
        <n v="432"/>
        <n v="441"/>
        <n v="1621"/>
        <n v="1219"/>
        <n v="18948"/>
        <n v="2146"/>
        <n v="955"/>
        <n v="13612"/>
        <n v="6215"/>
        <n v="6241"/>
        <n v="1902"/>
        <n v="3834"/>
        <n v="9496"/>
        <n v="14513"/>
        <n v="1665"/>
        <n v="6063"/>
        <n v="4326"/>
        <n v="12609"/>
        <n v="3329"/>
        <n v="2980"/>
        <n v="794"/>
        <n v="3061"/>
        <n v="1218"/>
        <n v="299"/>
        <n v="1082"/>
        <n v="1419"/>
        <n v="5504"/>
        <n v="11114"/>
        <n v="4596"/>
        <n v="4243"/>
        <n v="1831"/>
        <n v="5360"/>
        <n v="3713"/>
        <n v="6370"/>
        <n v="1786"/>
        <n v="1400"/>
        <n v="2670"/>
        <n v="624"/>
        <n v="1141"/>
        <n v="3019"/>
        <n v="4505"/>
        <n v="5449"/>
        <n v="6850"/>
        <n v="3221"/>
        <n v="2460"/>
        <n v="3205"/>
        <n v="3833"/>
        <n v="984"/>
        <n v="1934"/>
        <n v="1995"/>
        <n v="13901"/>
        <n v="877"/>
        <n v="3416"/>
        <n v="1020"/>
        <n v="555"/>
        <n v="1392"/>
        <n v="6470"/>
        <n v="1461"/>
        <n v="5403"/>
        <n v="6279"/>
        <n v="3187"/>
        <n v="4149"/>
        <n v="1146"/>
        <n v="17219"/>
        <n v="13866"/>
        <n v="17547"/>
        <n v="1118"/>
        <n v="3719"/>
        <n v="4292"/>
        <n v="15074"/>
        <n v="14794"/>
        <n v="12191"/>
        <n v="8836"/>
        <n v="6408"/>
        <n v="2434"/>
        <n v="11244"/>
        <n v="576"/>
        <n v="4293"/>
        <n v="697"/>
        <n v="13775"/>
        <n v="585"/>
        <n v="2983"/>
        <n v="14902"/>
        <n v="6314"/>
        <n v="1807"/>
        <n v="1374"/>
        <n v="14488"/>
        <n v="2513"/>
        <n v="6927"/>
        <n v="5000"/>
        <n v="18402"/>
        <n v="8791"/>
        <n v="5990"/>
        <n v="1329"/>
        <n v="5114"/>
        <n v="15154"/>
        <n v="4056"/>
        <n v="759"/>
        <n v="1358"/>
        <n v="4395"/>
        <n v="2469"/>
        <n v="1830"/>
        <n v="1818"/>
        <n v="1622"/>
        <n v="1804"/>
        <n v="2521"/>
        <n v="3195"/>
        <n v="1249"/>
        <n v="2535"/>
        <n v="1335"/>
        <n v="4176"/>
        <n v="3618"/>
        <n v="2369"/>
        <n v="419"/>
        <n v="1846"/>
        <n v="1435"/>
        <n v="3387"/>
        <n v="3490"/>
        <n v="2217"/>
        <n v="15376"/>
        <n v="4178"/>
        <n v="1056"/>
        <n v="1895"/>
        <n v="5613"/>
        <n v="654"/>
        <n v="4599"/>
        <n v="437"/>
        <n v="5268"/>
        <n v="10225"/>
        <n v="6791"/>
        <n v="3211"/>
        <n v="4040"/>
        <n v="536"/>
        <n v="8063"/>
        <n v="1280"/>
        <n v="912"/>
        <n v="1658"/>
        <n v="4486"/>
        <n v="1649"/>
        <n v="1037"/>
        <n v="263"/>
        <n v="4746"/>
        <n v="18488"/>
        <n v="6677"/>
        <n v="1712"/>
        <n v="3372"/>
        <n v="2195"/>
      </sharedItems>
    </cacheField>
    <cacheField name="Treatment Cost Band" numFmtId="0">
      <sharedItems/>
    </cacheField>
    <cacheField name="Hospital Stay (Days)" numFmtId="1">
      <sharedItems containsSemiMixedTypes="0" containsString="0" containsNumber="1" containsInteger="1" minValue="1" maxValue="15" count="15">
        <n v="7"/>
        <n v="8"/>
        <n v="13"/>
        <n v="1"/>
        <n v="3"/>
        <n v="9"/>
        <n v="2"/>
        <n v="5"/>
        <n v="4"/>
        <n v="15"/>
        <n v="6"/>
        <n v="10"/>
        <n v="11"/>
        <n v="14"/>
        <n v="12"/>
      </sharedItems>
    </cacheField>
    <cacheField name="Hospital Stay Band" numFmtId="1">
      <sharedItems/>
    </cacheField>
    <cacheField name="Recovery Score" numFmtId="0">
      <sharedItems containsSemiMixedTypes="0" containsString="0" containsNumber="1" containsInteger="1" minValue="50" maxValue="100" count="51">
        <n v="97"/>
        <n v="64"/>
        <n v="76"/>
        <n v="94"/>
        <n v="74"/>
        <n v="84"/>
        <n v="86"/>
        <n v="56"/>
        <n v="72"/>
        <n v="60"/>
        <n v="67"/>
        <n v="75"/>
        <n v="81"/>
        <n v="77"/>
        <n v="85"/>
        <n v="99"/>
        <n v="96"/>
        <n v="90"/>
        <n v="50"/>
        <n v="53"/>
        <n v="88"/>
        <n v="54"/>
        <n v="65"/>
        <n v="79"/>
        <n v="91"/>
        <n v="92"/>
        <n v="89"/>
        <n v="66"/>
        <n v="95"/>
        <n v="58"/>
        <n v="93"/>
        <n v="100"/>
        <n v="52"/>
        <n v="82"/>
        <n v="70"/>
        <n v="69"/>
        <n v="78"/>
        <n v="98"/>
        <n v="51"/>
        <n v="61"/>
        <n v="63"/>
        <n v="83"/>
        <n v="68"/>
        <n v="80"/>
        <n v="59"/>
        <n v="57"/>
        <n v="55"/>
        <n v="71"/>
        <n v="73"/>
        <n v="62"/>
        <n v="87"/>
      </sharedItems>
    </cacheField>
    <cacheField name="Recovery Score Range" numFmtId="0">
      <sharedItems count="2">
        <s v="Moderate Recovery"/>
        <s v="Poor Recovery"/>
      </sharedItems>
    </cacheField>
  </cacheFields>
  <extLst>
    <ext xmlns:x14="http://schemas.microsoft.com/office/spreadsheetml/2009/9/main" uri="{725AE2AE-9491-48be-B2B4-4EB974FC3084}">
      <x14:pivotCacheDefinition pivotCacheId="357854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0">
  <r>
    <x v="0"/>
    <x v="0"/>
    <x v="0"/>
    <x v="0"/>
    <x v="0"/>
    <x v="0"/>
    <x v="0"/>
    <x v="0"/>
    <s v="Low"/>
    <x v="0"/>
    <s v="Long Stay"/>
    <x v="0"/>
    <x v="0"/>
  </r>
  <r>
    <x v="1"/>
    <x v="1"/>
    <x v="0"/>
    <x v="1"/>
    <x v="1"/>
    <x v="1"/>
    <x v="1"/>
    <x v="1"/>
    <s v="Low"/>
    <x v="1"/>
    <s v="Long Stay"/>
    <x v="1"/>
    <x v="1"/>
  </r>
  <r>
    <x v="2"/>
    <x v="2"/>
    <x v="0"/>
    <x v="2"/>
    <x v="1"/>
    <x v="2"/>
    <x v="2"/>
    <x v="2"/>
    <s v="Medium"/>
    <x v="2"/>
    <s v="Extended Stay"/>
    <x v="2"/>
    <x v="1"/>
  </r>
  <r>
    <x v="3"/>
    <x v="3"/>
    <x v="1"/>
    <x v="1"/>
    <x v="1"/>
    <x v="3"/>
    <x v="1"/>
    <x v="3"/>
    <s v="Low"/>
    <x v="3"/>
    <s v="Short Stay"/>
    <x v="3"/>
    <x v="0"/>
  </r>
  <r>
    <x v="4"/>
    <x v="4"/>
    <x v="2"/>
    <x v="3"/>
    <x v="1"/>
    <x v="4"/>
    <x v="0"/>
    <x v="4"/>
    <s v="Low"/>
    <x v="4"/>
    <s v="Medium Stay"/>
    <x v="4"/>
    <x v="1"/>
  </r>
  <r>
    <x v="5"/>
    <x v="1"/>
    <x v="2"/>
    <x v="4"/>
    <x v="0"/>
    <x v="5"/>
    <x v="3"/>
    <x v="5"/>
    <s v="Low"/>
    <x v="5"/>
    <s v="Long Stay"/>
    <x v="5"/>
    <x v="1"/>
  </r>
  <r>
    <x v="6"/>
    <x v="1"/>
    <x v="1"/>
    <x v="5"/>
    <x v="0"/>
    <x v="6"/>
    <x v="2"/>
    <x v="6"/>
    <s v="Low"/>
    <x v="6"/>
    <s v="Short Stay"/>
    <x v="6"/>
    <x v="1"/>
  </r>
  <r>
    <x v="7"/>
    <x v="3"/>
    <x v="0"/>
    <x v="0"/>
    <x v="0"/>
    <x v="7"/>
    <x v="0"/>
    <x v="7"/>
    <s v="Low"/>
    <x v="1"/>
    <s v="Long Stay"/>
    <x v="7"/>
    <x v="1"/>
  </r>
  <r>
    <x v="8"/>
    <x v="4"/>
    <x v="2"/>
    <x v="6"/>
    <x v="0"/>
    <x v="8"/>
    <x v="4"/>
    <x v="8"/>
    <s v="Low"/>
    <x v="0"/>
    <s v="Long Stay"/>
    <x v="8"/>
    <x v="1"/>
  </r>
  <r>
    <x v="9"/>
    <x v="3"/>
    <x v="2"/>
    <x v="5"/>
    <x v="0"/>
    <x v="9"/>
    <x v="5"/>
    <x v="9"/>
    <s v="Low"/>
    <x v="7"/>
    <s v="Medium Stay"/>
    <x v="9"/>
    <x v="1"/>
  </r>
  <r>
    <x v="10"/>
    <x v="4"/>
    <x v="1"/>
    <x v="3"/>
    <x v="2"/>
    <x v="10"/>
    <x v="2"/>
    <x v="10"/>
    <s v="Low"/>
    <x v="4"/>
    <s v="Medium Stay"/>
    <x v="1"/>
    <x v="1"/>
  </r>
  <r>
    <x v="11"/>
    <x v="0"/>
    <x v="2"/>
    <x v="0"/>
    <x v="1"/>
    <x v="11"/>
    <x v="1"/>
    <x v="11"/>
    <s v="Low"/>
    <x v="1"/>
    <s v="Long Stay"/>
    <x v="10"/>
    <x v="1"/>
  </r>
  <r>
    <x v="12"/>
    <x v="1"/>
    <x v="3"/>
    <x v="1"/>
    <x v="0"/>
    <x v="12"/>
    <x v="0"/>
    <x v="12"/>
    <s v="Low"/>
    <x v="8"/>
    <s v="Medium Stay"/>
    <x v="11"/>
    <x v="1"/>
  </r>
  <r>
    <x v="13"/>
    <x v="0"/>
    <x v="1"/>
    <x v="7"/>
    <x v="1"/>
    <x v="0"/>
    <x v="0"/>
    <x v="13"/>
    <s v="Low"/>
    <x v="4"/>
    <s v="Medium Stay"/>
    <x v="5"/>
    <x v="1"/>
  </r>
  <r>
    <x v="14"/>
    <x v="5"/>
    <x v="1"/>
    <x v="1"/>
    <x v="1"/>
    <x v="13"/>
    <x v="5"/>
    <x v="14"/>
    <s v="Low"/>
    <x v="4"/>
    <s v="Medium Stay"/>
    <x v="12"/>
    <x v="1"/>
  </r>
  <r>
    <x v="15"/>
    <x v="1"/>
    <x v="0"/>
    <x v="5"/>
    <x v="1"/>
    <x v="14"/>
    <x v="5"/>
    <x v="15"/>
    <s v="Medium"/>
    <x v="9"/>
    <s v="Extended Stay"/>
    <x v="13"/>
    <x v="1"/>
  </r>
  <r>
    <x v="16"/>
    <x v="2"/>
    <x v="0"/>
    <x v="8"/>
    <x v="1"/>
    <x v="15"/>
    <x v="4"/>
    <x v="16"/>
    <s v="Medium"/>
    <x v="5"/>
    <s v="Long Stay"/>
    <x v="14"/>
    <x v="1"/>
  </r>
  <r>
    <x v="17"/>
    <x v="6"/>
    <x v="0"/>
    <x v="5"/>
    <x v="0"/>
    <x v="16"/>
    <x v="2"/>
    <x v="17"/>
    <s v="Medium"/>
    <x v="5"/>
    <s v="Long Stay"/>
    <x v="15"/>
    <x v="0"/>
  </r>
  <r>
    <x v="18"/>
    <x v="0"/>
    <x v="2"/>
    <x v="5"/>
    <x v="1"/>
    <x v="14"/>
    <x v="5"/>
    <x v="18"/>
    <s v="Low"/>
    <x v="6"/>
    <s v="Short Stay"/>
    <x v="16"/>
    <x v="0"/>
  </r>
  <r>
    <x v="19"/>
    <x v="0"/>
    <x v="2"/>
    <x v="2"/>
    <x v="0"/>
    <x v="17"/>
    <x v="2"/>
    <x v="19"/>
    <s v="Low"/>
    <x v="10"/>
    <s v="Long Stay"/>
    <x v="17"/>
    <x v="0"/>
  </r>
  <r>
    <x v="20"/>
    <x v="2"/>
    <x v="3"/>
    <x v="7"/>
    <x v="1"/>
    <x v="14"/>
    <x v="5"/>
    <x v="20"/>
    <s v="Low"/>
    <x v="7"/>
    <s v="Medium Stay"/>
    <x v="18"/>
    <x v="1"/>
  </r>
  <r>
    <x v="21"/>
    <x v="2"/>
    <x v="2"/>
    <x v="6"/>
    <x v="1"/>
    <x v="8"/>
    <x v="4"/>
    <x v="21"/>
    <s v="Low"/>
    <x v="7"/>
    <s v="Medium Stay"/>
    <x v="19"/>
    <x v="1"/>
  </r>
  <r>
    <x v="22"/>
    <x v="3"/>
    <x v="0"/>
    <x v="5"/>
    <x v="0"/>
    <x v="18"/>
    <x v="3"/>
    <x v="22"/>
    <s v="Medium"/>
    <x v="2"/>
    <s v="Extended Stay"/>
    <x v="15"/>
    <x v="0"/>
  </r>
  <r>
    <x v="23"/>
    <x v="3"/>
    <x v="3"/>
    <x v="6"/>
    <x v="0"/>
    <x v="9"/>
    <x v="5"/>
    <x v="23"/>
    <s v="Low"/>
    <x v="7"/>
    <s v="Medium Stay"/>
    <x v="20"/>
    <x v="1"/>
  </r>
  <r>
    <x v="24"/>
    <x v="4"/>
    <x v="3"/>
    <x v="2"/>
    <x v="0"/>
    <x v="19"/>
    <x v="2"/>
    <x v="24"/>
    <s v="Low"/>
    <x v="4"/>
    <s v="Medium Stay"/>
    <x v="11"/>
    <x v="1"/>
  </r>
  <r>
    <x v="25"/>
    <x v="0"/>
    <x v="2"/>
    <x v="6"/>
    <x v="0"/>
    <x v="20"/>
    <x v="4"/>
    <x v="25"/>
    <s v="Low"/>
    <x v="7"/>
    <s v="Medium Stay"/>
    <x v="1"/>
    <x v="1"/>
  </r>
  <r>
    <x v="26"/>
    <x v="1"/>
    <x v="2"/>
    <x v="0"/>
    <x v="0"/>
    <x v="21"/>
    <x v="0"/>
    <x v="26"/>
    <s v="Low"/>
    <x v="7"/>
    <s v="Medium Stay"/>
    <x v="18"/>
    <x v="1"/>
  </r>
  <r>
    <x v="27"/>
    <x v="1"/>
    <x v="0"/>
    <x v="9"/>
    <x v="1"/>
    <x v="11"/>
    <x v="1"/>
    <x v="27"/>
    <s v="Medium"/>
    <x v="11"/>
    <s v="Long Stay"/>
    <x v="21"/>
    <x v="1"/>
  </r>
  <r>
    <x v="28"/>
    <x v="2"/>
    <x v="3"/>
    <x v="3"/>
    <x v="0"/>
    <x v="22"/>
    <x v="5"/>
    <x v="28"/>
    <s v="Low"/>
    <x v="6"/>
    <s v="Short Stay"/>
    <x v="16"/>
    <x v="0"/>
  </r>
  <r>
    <x v="29"/>
    <x v="2"/>
    <x v="1"/>
    <x v="9"/>
    <x v="0"/>
    <x v="23"/>
    <x v="4"/>
    <x v="29"/>
    <s v="Low"/>
    <x v="3"/>
    <s v="Short Stay"/>
    <x v="7"/>
    <x v="1"/>
  </r>
  <r>
    <x v="30"/>
    <x v="0"/>
    <x v="1"/>
    <x v="4"/>
    <x v="1"/>
    <x v="15"/>
    <x v="4"/>
    <x v="30"/>
    <s v="Low"/>
    <x v="4"/>
    <s v="Medium Stay"/>
    <x v="19"/>
    <x v="1"/>
  </r>
  <r>
    <x v="31"/>
    <x v="0"/>
    <x v="0"/>
    <x v="0"/>
    <x v="1"/>
    <x v="4"/>
    <x v="0"/>
    <x v="31"/>
    <s v="Medium"/>
    <x v="10"/>
    <s v="Long Stay"/>
    <x v="22"/>
    <x v="1"/>
  </r>
  <r>
    <x v="32"/>
    <x v="3"/>
    <x v="3"/>
    <x v="2"/>
    <x v="1"/>
    <x v="24"/>
    <x v="4"/>
    <x v="32"/>
    <s v="Low"/>
    <x v="4"/>
    <s v="Medium Stay"/>
    <x v="23"/>
    <x v="1"/>
  </r>
  <r>
    <x v="33"/>
    <x v="3"/>
    <x v="0"/>
    <x v="6"/>
    <x v="0"/>
    <x v="25"/>
    <x v="2"/>
    <x v="33"/>
    <s v="Low"/>
    <x v="7"/>
    <s v="Medium Stay"/>
    <x v="24"/>
    <x v="0"/>
  </r>
  <r>
    <x v="34"/>
    <x v="2"/>
    <x v="0"/>
    <x v="5"/>
    <x v="0"/>
    <x v="26"/>
    <x v="0"/>
    <x v="34"/>
    <s v="Low"/>
    <x v="12"/>
    <s v="Extended Stay"/>
    <x v="12"/>
    <x v="1"/>
  </r>
  <r>
    <x v="35"/>
    <x v="4"/>
    <x v="3"/>
    <x v="8"/>
    <x v="0"/>
    <x v="9"/>
    <x v="5"/>
    <x v="35"/>
    <s v="Low"/>
    <x v="3"/>
    <s v="Short Stay"/>
    <x v="4"/>
    <x v="1"/>
  </r>
  <r>
    <x v="36"/>
    <x v="5"/>
    <x v="1"/>
    <x v="3"/>
    <x v="1"/>
    <x v="27"/>
    <x v="2"/>
    <x v="36"/>
    <s v="Low"/>
    <x v="4"/>
    <s v="Medium Stay"/>
    <x v="12"/>
    <x v="1"/>
  </r>
  <r>
    <x v="37"/>
    <x v="3"/>
    <x v="3"/>
    <x v="3"/>
    <x v="1"/>
    <x v="28"/>
    <x v="3"/>
    <x v="37"/>
    <s v="Low"/>
    <x v="3"/>
    <s v="Short Stay"/>
    <x v="0"/>
    <x v="0"/>
  </r>
  <r>
    <x v="38"/>
    <x v="5"/>
    <x v="0"/>
    <x v="0"/>
    <x v="0"/>
    <x v="17"/>
    <x v="2"/>
    <x v="38"/>
    <s v="Medium"/>
    <x v="2"/>
    <s v="Extended Stay"/>
    <x v="9"/>
    <x v="1"/>
  </r>
  <r>
    <x v="39"/>
    <x v="1"/>
    <x v="0"/>
    <x v="7"/>
    <x v="1"/>
    <x v="18"/>
    <x v="3"/>
    <x v="39"/>
    <s v="Medium"/>
    <x v="1"/>
    <s v="Long Stay"/>
    <x v="11"/>
    <x v="1"/>
  </r>
  <r>
    <x v="40"/>
    <x v="1"/>
    <x v="3"/>
    <x v="1"/>
    <x v="0"/>
    <x v="29"/>
    <x v="2"/>
    <x v="40"/>
    <s v="Low"/>
    <x v="8"/>
    <s v="Medium Stay"/>
    <x v="25"/>
    <x v="0"/>
  </r>
  <r>
    <x v="41"/>
    <x v="2"/>
    <x v="2"/>
    <x v="3"/>
    <x v="1"/>
    <x v="12"/>
    <x v="0"/>
    <x v="41"/>
    <s v="Low"/>
    <x v="10"/>
    <s v="Long Stay"/>
    <x v="11"/>
    <x v="1"/>
  </r>
  <r>
    <x v="42"/>
    <x v="3"/>
    <x v="2"/>
    <x v="6"/>
    <x v="1"/>
    <x v="30"/>
    <x v="3"/>
    <x v="42"/>
    <s v="Low"/>
    <x v="5"/>
    <s v="Long Stay"/>
    <x v="26"/>
    <x v="1"/>
  </r>
  <r>
    <x v="43"/>
    <x v="2"/>
    <x v="0"/>
    <x v="5"/>
    <x v="0"/>
    <x v="17"/>
    <x v="2"/>
    <x v="43"/>
    <s v="Low"/>
    <x v="0"/>
    <s v="Long Stay"/>
    <x v="8"/>
    <x v="1"/>
  </r>
  <r>
    <x v="44"/>
    <x v="1"/>
    <x v="3"/>
    <x v="4"/>
    <x v="1"/>
    <x v="31"/>
    <x v="4"/>
    <x v="44"/>
    <s v="Low"/>
    <x v="4"/>
    <s v="Medium Stay"/>
    <x v="26"/>
    <x v="1"/>
  </r>
  <r>
    <x v="45"/>
    <x v="6"/>
    <x v="0"/>
    <x v="2"/>
    <x v="1"/>
    <x v="32"/>
    <x v="2"/>
    <x v="45"/>
    <s v="Low"/>
    <x v="0"/>
    <s v="Long Stay"/>
    <x v="27"/>
    <x v="1"/>
  </r>
  <r>
    <x v="46"/>
    <x v="1"/>
    <x v="0"/>
    <x v="2"/>
    <x v="1"/>
    <x v="33"/>
    <x v="0"/>
    <x v="46"/>
    <s v="Medium"/>
    <x v="1"/>
    <s v="Long Stay"/>
    <x v="28"/>
    <x v="0"/>
  </r>
  <r>
    <x v="47"/>
    <x v="5"/>
    <x v="3"/>
    <x v="3"/>
    <x v="0"/>
    <x v="34"/>
    <x v="0"/>
    <x v="47"/>
    <s v="Low"/>
    <x v="3"/>
    <s v="Short Stay"/>
    <x v="17"/>
    <x v="0"/>
  </r>
  <r>
    <x v="48"/>
    <x v="4"/>
    <x v="2"/>
    <x v="0"/>
    <x v="1"/>
    <x v="35"/>
    <x v="6"/>
    <x v="48"/>
    <s v="Low"/>
    <x v="10"/>
    <s v="Long Stay"/>
    <x v="9"/>
    <x v="1"/>
  </r>
  <r>
    <x v="49"/>
    <x v="0"/>
    <x v="1"/>
    <x v="2"/>
    <x v="0"/>
    <x v="27"/>
    <x v="2"/>
    <x v="49"/>
    <s v="Low"/>
    <x v="3"/>
    <s v="Short Stay"/>
    <x v="21"/>
    <x v="1"/>
  </r>
  <r>
    <x v="50"/>
    <x v="0"/>
    <x v="3"/>
    <x v="2"/>
    <x v="1"/>
    <x v="36"/>
    <x v="4"/>
    <x v="50"/>
    <s v="Low"/>
    <x v="8"/>
    <s v="Medium Stay"/>
    <x v="29"/>
    <x v="1"/>
  </r>
  <r>
    <x v="51"/>
    <x v="1"/>
    <x v="2"/>
    <x v="4"/>
    <x v="0"/>
    <x v="5"/>
    <x v="3"/>
    <x v="51"/>
    <s v="Low"/>
    <x v="7"/>
    <s v="Medium Stay"/>
    <x v="30"/>
    <x v="0"/>
  </r>
  <r>
    <x v="52"/>
    <x v="3"/>
    <x v="0"/>
    <x v="4"/>
    <x v="0"/>
    <x v="23"/>
    <x v="4"/>
    <x v="52"/>
    <s v="Medium"/>
    <x v="0"/>
    <s v="Long Stay"/>
    <x v="22"/>
    <x v="1"/>
  </r>
  <r>
    <x v="53"/>
    <x v="6"/>
    <x v="3"/>
    <x v="7"/>
    <x v="0"/>
    <x v="1"/>
    <x v="1"/>
    <x v="30"/>
    <s v="Low"/>
    <x v="4"/>
    <s v="Medium Stay"/>
    <x v="31"/>
    <x v="0"/>
  </r>
  <r>
    <x v="54"/>
    <x v="4"/>
    <x v="3"/>
    <x v="3"/>
    <x v="1"/>
    <x v="37"/>
    <x v="2"/>
    <x v="53"/>
    <s v="Low"/>
    <x v="8"/>
    <s v="Medium Stay"/>
    <x v="32"/>
    <x v="1"/>
  </r>
  <r>
    <x v="55"/>
    <x v="6"/>
    <x v="1"/>
    <x v="9"/>
    <x v="1"/>
    <x v="38"/>
    <x v="4"/>
    <x v="47"/>
    <s v="Low"/>
    <x v="6"/>
    <s v="Short Stay"/>
    <x v="31"/>
    <x v="0"/>
  </r>
  <r>
    <x v="56"/>
    <x v="6"/>
    <x v="3"/>
    <x v="9"/>
    <x v="1"/>
    <x v="39"/>
    <x v="5"/>
    <x v="54"/>
    <s v="Low"/>
    <x v="4"/>
    <s v="Medium Stay"/>
    <x v="10"/>
    <x v="1"/>
  </r>
  <r>
    <x v="57"/>
    <x v="6"/>
    <x v="0"/>
    <x v="3"/>
    <x v="1"/>
    <x v="40"/>
    <x v="2"/>
    <x v="55"/>
    <s v="Medium"/>
    <x v="9"/>
    <s v="Extended Stay"/>
    <x v="5"/>
    <x v="1"/>
  </r>
  <r>
    <x v="58"/>
    <x v="5"/>
    <x v="0"/>
    <x v="5"/>
    <x v="0"/>
    <x v="41"/>
    <x v="0"/>
    <x v="56"/>
    <s v="Low"/>
    <x v="13"/>
    <s v="Extended Stay"/>
    <x v="27"/>
    <x v="1"/>
  </r>
  <r>
    <x v="59"/>
    <x v="1"/>
    <x v="0"/>
    <x v="1"/>
    <x v="1"/>
    <x v="12"/>
    <x v="0"/>
    <x v="57"/>
    <s v="Medium"/>
    <x v="13"/>
    <s v="Extended Stay"/>
    <x v="33"/>
    <x v="1"/>
  </r>
  <r>
    <x v="60"/>
    <x v="1"/>
    <x v="1"/>
    <x v="1"/>
    <x v="1"/>
    <x v="5"/>
    <x v="3"/>
    <x v="58"/>
    <s v="Low"/>
    <x v="6"/>
    <s v="Short Stay"/>
    <x v="18"/>
    <x v="1"/>
  </r>
  <r>
    <x v="61"/>
    <x v="2"/>
    <x v="3"/>
    <x v="4"/>
    <x v="1"/>
    <x v="42"/>
    <x v="2"/>
    <x v="59"/>
    <s v="Low"/>
    <x v="7"/>
    <s v="Medium Stay"/>
    <x v="34"/>
    <x v="1"/>
  </r>
  <r>
    <x v="62"/>
    <x v="0"/>
    <x v="0"/>
    <x v="3"/>
    <x v="0"/>
    <x v="42"/>
    <x v="2"/>
    <x v="60"/>
    <s v="Medium"/>
    <x v="11"/>
    <s v="Long Stay"/>
    <x v="11"/>
    <x v="1"/>
  </r>
  <r>
    <x v="63"/>
    <x v="0"/>
    <x v="2"/>
    <x v="2"/>
    <x v="1"/>
    <x v="43"/>
    <x v="4"/>
    <x v="61"/>
    <s v="Low"/>
    <x v="1"/>
    <s v="Long Stay"/>
    <x v="30"/>
    <x v="0"/>
  </r>
  <r>
    <x v="64"/>
    <x v="0"/>
    <x v="3"/>
    <x v="1"/>
    <x v="0"/>
    <x v="44"/>
    <x v="4"/>
    <x v="62"/>
    <s v="Low"/>
    <x v="3"/>
    <s v="Short Stay"/>
    <x v="35"/>
    <x v="1"/>
  </r>
  <r>
    <x v="65"/>
    <x v="5"/>
    <x v="3"/>
    <x v="8"/>
    <x v="0"/>
    <x v="45"/>
    <x v="2"/>
    <x v="63"/>
    <s v="Low"/>
    <x v="8"/>
    <s v="Medium Stay"/>
    <x v="36"/>
    <x v="1"/>
  </r>
  <r>
    <x v="66"/>
    <x v="4"/>
    <x v="3"/>
    <x v="2"/>
    <x v="1"/>
    <x v="9"/>
    <x v="5"/>
    <x v="64"/>
    <s v="Low"/>
    <x v="4"/>
    <s v="Medium Stay"/>
    <x v="33"/>
    <x v="1"/>
  </r>
  <r>
    <x v="67"/>
    <x v="0"/>
    <x v="2"/>
    <x v="5"/>
    <x v="0"/>
    <x v="26"/>
    <x v="0"/>
    <x v="65"/>
    <s v="Low"/>
    <x v="10"/>
    <s v="Long Stay"/>
    <x v="1"/>
    <x v="1"/>
  </r>
  <r>
    <x v="68"/>
    <x v="6"/>
    <x v="3"/>
    <x v="7"/>
    <x v="1"/>
    <x v="0"/>
    <x v="0"/>
    <x v="66"/>
    <s v="Low"/>
    <x v="7"/>
    <s v="Medium Stay"/>
    <x v="15"/>
    <x v="0"/>
  </r>
  <r>
    <x v="69"/>
    <x v="1"/>
    <x v="1"/>
    <x v="8"/>
    <x v="0"/>
    <x v="46"/>
    <x v="2"/>
    <x v="67"/>
    <s v="Low"/>
    <x v="4"/>
    <s v="Medium Stay"/>
    <x v="3"/>
    <x v="0"/>
  </r>
  <r>
    <x v="70"/>
    <x v="4"/>
    <x v="1"/>
    <x v="8"/>
    <x v="1"/>
    <x v="2"/>
    <x v="2"/>
    <x v="68"/>
    <s v="Low"/>
    <x v="3"/>
    <s v="Short Stay"/>
    <x v="37"/>
    <x v="0"/>
  </r>
  <r>
    <x v="71"/>
    <x v="6"/>
    <x v="0"/>
    <x v="8"/>
    <x v="1"/>
    <x v="37"/>
    <x v="2"/>
    <x v="69"/>
    <s v="Medium"/>
    <x v="14"/>
    <s v="Extended Stay"/>
    <x v="19"/>
    <x v="1"/>
  </r>
  <r>
    <x v="72"/>
    <x v="2"/>
    <x v="3"/>
    <x v="5"/>
    <x v="1"/>
    <x v="15"/>
    <x v="4"/>
    <x v="70"/>
    <s v="Low"/>
    <x v="7"/>
    <s v="Medium Stay"/>
    <x v="20"/>
    <x v="1"/>
  </r>
  <r>
    <x v="73"/>
    <x v="5"/>
    <x v="1"/>
    <x v="1"/>
    <x v="0"/>
    <x v="17"/>
    <x v="2"/>
    <x v="71"/>
    <s v="Low"/>
    <x v="4"/>
    <s v="Medium Stay"/>
    <x v="36"/>
    <x v="1"/>
  </r>
  <r>
    <x v="74"/>
    <x v="3"/>
    <x v="1"/>
    <x v="6"/>
    <x v="1"/>
    <x v="0"/>
    <x v="0"/>
    <x v="72"/>
    <s v="Low"/>
    <x v="4"/>
    <s v="Medium Stay"/>
    <x v="10"/>
    <x v="1"/>
  </r>
  <r>
    <x v="75"/>
    <x v="6"/>
    <x v="1"/>
    <x v="9"/>
    <x v="1"/>
    <x v="30"/>
    <x v="3"/>
    <x v="73"/>
    <s v="Low"/>
    <x v="6"/>
    <s v="Short Stay"/>
    <x v="22"/>
    <x v="1"/>
  </r>
  <r>
    <x v="76"/>
    <x v="5"/>
    <x v="2"/>
    <x v="4"/>
    <x v="0"/>
    <x v="47"/>
    <x v="3"/>
    <x v="74"/>
    <s v="Low"/>
    <x v="8"/>
    <s v="Medium Stay"/>
    <x v="1"/>
    <x v="1"/>
  </r>
  <r>
    <x v="77"/>
    <x v="4"/>
    <x v="3"/>
    <x v="9"/>
    <x v="1"/>
    <x v="23"/>
    <x v="4"/>
    <x v="75"/>
    <s v="Low"/>
    <x v="7"/>
    <s v="Medium Stay"/>
    <x v="23"/>
    <x v="1"/>
  </r>
  <r>
    <x v="78"/>
    <x v="4"/>
    <x v="0"/>
    <x v="9"/>
    <x v="0"/>
    <x v="48"/>
    <x v="4"/>
    <x v="76"/>
    <s v="Medium"/>
    <x v="13"/>
    <s v="Extended Stay"/>
    <x v="3"/>
    <x v="0"/>
  </r>
  <r>
    <x v="79"/>
    <x v="1"/>
    <x v="1"/>
    <x v="6"/>
    <x v="1"/>
    <x v="49"/>
    <x v="4"/>
    <x v="77"/>
    <s v="Low"/>
    <x v="6"/>
    <s v="Short Stay"/>
    <x v="2"/>
    <x v="1"/>
  </r>
  <r>
    <x v="80"/>
    <x v="2"/>
    <x v="3"/>
    <x v="6"/>
    <x v="1"/>
    <x v="50"/>
    <x v="4"/>
    <x v="78"/>
    <s v="Low"/>
    <x v="3"/>
    <s v="Short Stay"/>
    <x v="4"/>
    <x v="1"/>
  </r>
  <r>
    <x v="81"/>
    <x v="5"/>
    <x v="1"/>
    <x v="7"/>
    <x v="0"/>
    <x v="35"/>
    <x v="6"/>
    <x v="79"/>
    <s v="Low"/>
    <x v="4"/>
    <s v="Medium Stay"/>
    <x v="38"/>
    <x v="1"/>
  </r>
  <r>
    <x v="82"/>
    <x v="4"/>
    <x v="0"/>
    <x v="5"/>
    <x v="0"/>
    <x v="51"/>
    <x v="6"/>
    <x v="80"/>
    <s v="Medium"/>
    <x v="14"/>
    <s v="Extended Stay"/>
    <x v="39"/>
    <x v="1"/>
  </r>
  <r>
    <x v="83"/>
    <x v="1"/>
    <x v="2"/>
    <x v="8"/>
    <x v="1"/>
    <x v="38"/>
    <x v="4"/>
    <x v="81"/>
    <s v="Low"/>
    <x v="0"/>
    <s v="Long Stay"/>
    <x v="37"/>
    <x v="0"/>
  </r>
  <r>
    <x v="84"/>
    <x v="4"/>
    <x v="2"/>
    <x v="8"/>
    <x v="1"/>
    <x v="47"/>
    <x v="3"/>
    <x v="82"/>
    <s v="Low"/>
    <x v="6"/>
    <s v="Short Stay"/>
    <x v="0"/>
    <x v="0"/>
  </r>
  <r>
    <x v="85"/>
    <x v="2"/>
    <x v="0"/>
    <x v="4"/>
    <x v="1"/>
    <x v="18"/>
    <x v="3"/>
    <x v="83"/>
    <s v="Medium"/>
    <x v="9"/>
    <s v="Extended Stay"/>
    <x v="32"/>
    <x v="1"/>
  </r>
  <r>
    <x v="86"/>
    <x v="6"/>
    <x v="0"/>
    <x v="9"/>
    <x v="1"/>
    <x v="52"/>
    <x v="1"/>
    <x v="84"/>
    <s v="Medium"/>
    <x v="0"/>
    <s v="Long Stay"/>
    <x v="22"/>
    <x v="1"/>
  </r>
  <r>
    <x v="87"/>
    <x v="3"/>
    <x v="1"/>
    <x v="5"/>
    <x v="0"/>
    <x v="22"/>
    <x v="5"/>
    <x v="85"/>
    <s v="Low"/>
    <x v="4"/>
    <s v="Medium Stay"/>
    <x v="27"/>
    <x v="1"/>
  </r>
  <r>
    <x v="88"/>
    <x v="6"/>
    <x v="2"/>
    <x v="7"/>
    <x v="0"/>
    <x v="53"/>
    <x v="6"/>
    <x v="86"/>
    <s v="Low"/>
    <x v="10"/>
    <s v="Long Stay"/>
    <x v="7"/>
    <x v="1"/>
  </r>
  <r>
    <x v="89"/>
    <x v="2"/>
    <x v="0"/>
    <x v="3"/>
    <x v="0"/>
    <x v="54"/>
    <x v="4"/>
    <x v="87"/>
    <s v="Medium"/>
    <x v="1"/>
    <s v="Long Stay"/>
    <x v="21"/>
    <x v="1"/>
  </r>
  <r>
    <x v="90"/>
    <x v="2"/>
    <x v="3"/>
    <x v="5"/>
    <x v="0"/>
    <x v="55"/>
    <x v="0"/>
    <x v="88"/>
    <s v="Low"/>
    <x v="7"/>
    <s v="Medium Stay"/>
    <x v="31"/>
    <x v="0"/>
  </r>
  <r>
    <x v="91"/>
    <x v="1"/>
    <x v="2"/>
    <x v="2"/>
    <x v="1"/>
    <x v="36"/>
    <x v="4"/>
    <x v="89"/>
    <s v="Low"/>
    <x v="11"/>
    <s v="Long Stay"/>
    <x v="24"/>
    <x v="0"/>
  </r>
  <r>
    <x v="92"/>
    <x v="5"/>
    <x v="0"/>
    <x v="8"/>
    <x v="0"/>
    <x v="56"/>
    <x v="6"/>
    <x v="90"/>
    <s v="Medium"/>
    <x v="11"/>
    <s v="Long Stay"/>
    <x v="17"/>
    <x v="0"/>
  </r>
  <r>
    <x v="93"/>
    <x v="6"/>
    <x v="1"/>
    <x v="7"/>
    <x v="1"/>
    <x v="57"/>
    <x v="2"/>
    <x v="91"/>
    <s v="Low"/>
    <x v="6"/>
    <s v="Short Stay"/>
    <x v="26"/>
    <x v="1"/>
  </r>
  <r>
    <x v="94"/>
    <x v="6"/>
    <x v="1"/>
    <x v="6"/>
    <x v="1"/>
    <x v="58"/>
    <x v="2"/>
    <x v="92"/>
    <s v="Low"/>
    <x v="6"/>
    <s v="Short Stay"/>
    <x v="22"/>
    <x v="1"/>
  </r>
  <r>
    <x v="95"/>
    <x v="6"/>
    <x v="0"/>
    <x v="3"/>
    <x v="0"/>
    <x v="0"/>
    <x v="0"/>
    <x v="93"/>
    <s v="Medium"/>
    <x v="14"/>
    <s v="Extended Stay"/>
    <x v="6"/>
    <x v="1"/>
  </r>
  <r>
    <x v="96"/>
    <x v="2"/>
    <x v="1"/>
    <x v="4"/>
    <x v="1"/>
    <x v="59"/>
    <x v="0"/>
    <x v="94"/>
    <s v="Low"/>
    <x v="6"/>
    <s v="Short Stay"/>
    <x v="40"/>
    <x v="1"/>
  </r>
  <r>
    <x v="97"/>
    <x v="5"/>
    <x v="2"/>
    <x v="4"/>
    <x v="1"/>
    <x v="60"/>
    <x v="2"/>
    <x v="95"/>
    <s v="Low"/>
    <x v="10"/>
    <s v="Long Stay"/>
    <x v="14"/>
    <x v="1"/>
  </r>
  <r>
    <x v="98"/>
    <x v="1"/>
    <x v="3"/>
    <x v="5"/>
    <x v="1"/>
    <x v="23"/>
    <x v="4"/>
    <x v="96"/>
    <s v="Low"/>
    <x v="7"/>
    <s v="Medium Stay"/>
    <x v="37"/>
    <x v="0"/>
  </r>
  <r>
    <x v="99"/>
    <x v="3"/>
    <x v="1"/>
    <x v="6"/>
    <x v="1"/>
    <x v="52"/>
    <x v="1"/>
    <x v="97"/>
    <s v="Low"/>
    <x v="6"/>
    <s v="Short Stay"/>
    <x v="1"/>
    <x v="1"/>
  </r>
  <r>
    <x v="100"/>
    <x v="4"/>
    <x v="3"/>
    <x v="3"/>
    <x v="0"/>
    <x v="36"/>
    <x v="4"/>
    <x v="98"/>
    <s v="Low"/>
    <x v="7"/>
    <s v="Medium Stay"/>
    <x v="41"/>
    <x v="1"/>
  </r>
  <r>
    <x v="101"/>
    <x v="5"/>
    <x v="1"/>
    <x v="2"/>
    <x v="1"/>
    <x v="37"/>
    <x v="2"/>
    <x v="99"/>
    <s v="Low"/>
    <x v="6"/>
    <s v="Short Stay"/>
    <x v="35"/>
    <x v="1"/>
  </r>
  <r>
    <x v="102"/>
    <x v="5"/>
    <x v="3"/>
    <x v="5"/>
    <x v="0"/>
    <x v="12"/>
    <x v="0"/>
    <x v="100"/>
    <s v="Low"/>
    <x v="7"/>
    <s v="Medium Stay"/>
    <x v="37"/>
    <x v="0"/>
  </r>
  <r>
    <x v="103"/>
    <x v="0"/>
    <x v="3"/>
    <x v="9"/>
    <x v="1"/>
    <x v="61"/>
    <x v="2"/>
    <x v="101"/>
    <s v="Low"/>
    <x v="7"/>
    <s v="Medium Stay"/>
    <x v="37"/>
    <x v="0"/>
  </r>
  <r>
    <x v="104"/>
    <x v="2"/>
    <x v="2"/>
    <x v="5"/>
    <x v="0"/>
    <x v="7"/>
    <x v="0"/>
    <x v="102"/>
    <s v="Low"/>
    <x v="0"/>
    <s v="Long Stay"/>
    <x v="39"/>
    <x v="1"/>
  </r>
  <r>
    <x v="105"/>
    <x v="5"/>
    <x v="0"/>
    <x v="2"/>
    <x v="1"/>
    <x v="5"/>
    <x v="3"/>
    <x v="103"/>
    <s v="Low"/>
    <x v="2"/>
    <s v="Extended Stay"/>
    <x v="42"/>
    <x v="1"/>
  </r>
  <r>
    <x v="106"/>
    <x v="0"/>
    <x v="3"/>
    <x v="6"/>
    <x v="1"/>
    <x v="62"/>
    <x v="1"/>
    <x v="104"/>
    <s v="Low"/>
    <x v="8"/>
    <s v="Medium Stay"/>
    <x v="43"/>
    <x v="1"/>
  </r>
  <r>
    <x v="107"/>
    <x v="4"/>
    <x v="2"/>
    <x v="7"/>
    <x v="0"/>
    <x v="34"/>
    <x v="0"/>
    <x v="105"/>
    <s v="Low"/>
    <x v="4"/>
    <s v="Medium Stay"/>
    <x v="21"/>
    <x v="1"/>
  </r>
  <r>
    <x v="108"/>
    <x v="4"/>
    <x v="1"/>
    <x v="5"/>
    <x v="0"/>
    <x v="63"/>
    <x v="2"/>
    <x v="106"/>
    <s v="Low"/>
    <x v="3"/>
    <s v="Short Stay"/>
    <x v="44"/>
    <x v="1"/>
  </r>
  <r>
    <x v="109"/>
    <x v="6"/>
    <x v="2"/>
    <x v="5"/>
    <x v="2"/>
    <x v="64"/>
    <x v="6"/>
    <x v="107"/>
    <s v="Low"/>
    <x v="1"/>
    <s v="Long Stay"/>
    <x v="20"/>
    <x v="1"/>
  </r>
  <r>
    <x v="110"/>
    <x v="2"/>
    <x v="3"/>
    <x v="2"/>
    <x v="1"/>
    <x v="31"/>
    <x v="4"/>
    <x v="108"/>
    <s v="Low"/>
    <x v="7"/>
    <s v="Medium Stay"/>
    <x v="13"/>
    <x v="1"/>
  </r>
  <r>
    <x v="111"/>
    <x v="5"/>
    <x v="0"/>
    <x v="1"/>
    <x v="0"/>
    <x v="65"/>
    <x v="6"/>
    <x v="109"/>
    <s v="Medium"/>
    <x v="1"/>
    <s v="Long Stay"/>
    <x v="17"/>
    <x v="0"/>
  </r>
  <r>
    <x v="112"/>
    <x v="3"/>
    <x v="2"/>
    <x v="5"/>
    <x v="1"/>
    <x v="66"/>
    <x v="5"/>
    <x v="110"/>
    <s v="Low"/>
    <x v="4"/>
    <s v="Medium Stay"/>
    <x v="9"/>
    <x v="1"/>
  </r>
  <r>
    <x v="113"/>
    <x v="1"/>
    <x v="1"/>
    <x v="6"/>
    <x v="0"/>
    <x v="67"/>
    <x v="2"/>
    <x v="111"/>
    <s v="Low"/>
    <x v="3"/>
    <s v="Short Stay"/>
    <x v="1"/>
    <x v="1"/>
  </r>
  <r>
    <x v="114"/>
    <x v="5"/>
    <x v="2"/>
    <x v="6"/>
    <x v="1"/>
    <x v="21"/>
    <x v="0"/>
    <x v="112"/>
    <s v="Low"/>
    <x v="7"/>
    <s v="Medium Stay"/>
    <x v="13"/>
    <x v="1"/>
  </r>
  <r>
    <x v="115"/>
    <x v="1"/>
    <x v="3"/>
    <x v="7"/>
    <x v="0"/>
    <x v="68"/>
    <x v="6"/>
    <x v="113"/>
    <s v="Low"/>
    <x v="3"/>
    <s v="Short Stay"/>
    <x v="9"/>
    <x v="1"/>
  </r>
  <r>
    <x v="116"/>
    <x v="6"/>
    <x v="2"/>
    <x v="1"/>
    <x v="0"/>
    <x v="69"/>
    <x v="2"/>
    <x v="114"/>
    <s v="Low"/>
    <x v="5"/>
    <s v="Long Stay"/>
    <x v="45"/>
    <x v="1"/>
  </r>
  <r>
    <x v="117"/>
    <x v="4"/>
    <x v="2"/>
    <x v="8"/>
    <x v="0"/>
    <x v="17"/>
    <x v="2"/>
    <x v="115"/>
    <s v="Low"/>
    <x v="5"/>
    <s v="Long Stay"/>
    <x v="36"/>
    <x v="1"/>
  </r>
  <r>
    <x v="118"/>
    <x v="1"/>
    <x v="0"/>
    <x v="8"/>
    <x v="0"/>
    <x v="45"/>
    <x v="2"/>
    <x v="116"/>
    <s v="Low"/>
    <x v="7"/>
    <s v="Medium Stay"/>
    <x v="46"/>
    <x v="1"/>
  </r>
  <r>
    <x v="119"/>
    <x v="3"/>
    <x v="0"/>
    <x v="3"/>
    <x v="0"/>
    <x v="66"/>
    <x v="5"/>
    <x v="117"/>
    <s v="Medium"/>
    <x v="2"/>
    <s v="Extended Stay"/>
    <x v="24"/>
    <x v="0"/>
  </r>
  <r>
    <x v="120"/>
    <x v="4"/>
    <x v="2"/>
    <x v="7"/>
    <x v="2"/>
    <x v="50"/>
    <x v="4"/>
    <x v="118"/>
    <s v="Low"/>
    <x v="5"/>
    <s v="Long Stay"/>
    <x v="46"/>
    <x v="1"/>
  </r>
  <r>
    <x v="121"/>
    <x v="4"/>
    <x v="2"/>
    <x v="8"/>
    <x v="1"/>
    <x v="42"/>
    <x v="2"/>
    <x v="119"/>
    <s v="Low"/>
    <x v="8"/>
    <s v="Medium Stay"/>
    <x v="47"/>
    <x v="1"/>
  </r>
  <r>
    <x v="122"/>
    <x v="4"/>
    <x v="1"/>
    <x v="3"/>
    <x v="0"/>
    <x v="44"/>
    <x v="4"/>
    <x v="120"/>
    <s v="Low"/>
    <x v="4"/>
    <s v="Medium Stay"/>
    <x v="32"/>
    <x v="1"/>
  </r>
  <r>
    <x v="123"/>
    <x v="4"/>
    <x v="0"/>
    <x v="4"/>
    <x v="1"/>
    <x v="53"/>
    <x v="6"/>
    <x v="121"/>
    <s v="Medium"/>
    <x v="12"/>
    <s v="Extended Stay"/>
    <x v="33"/>
    <x v="1"/>
  </r>
  <r>
    <x v="124"/>
    <x v="6"/>
    <x v="0"/>
    <x v="2"/>
    <x v="1"/>
    <x v="70"/>
    <x v="3"/>
    <x v="122"/>
    <s v="Low"/>
    <x v="2"/>
    <s v="Extended Stay"/>
    <x v="48"/>
    <x v="1"/>
  </r>
  <r>
    <x v="125"/>
    <x v="2"/>
    <x v="1"/>
    <x v="6"/>
    <x v="0"/>
    <x v="71"/>
    <x v="5"/>
    <x v="123"/>
    <s v="Low"/>
    <x v="4"/>
    <s v="Medium Stay"/>
    <x v="29"/>
    <x v="1"/>
  </r>
  <r>
    <x v="126"/>
    <x v="5"/>
    <x v="1"/>
    <x v="6"/>
    <x v="1"/>
    <x v="6"/>
    <x v="2"/>
    <x v="124"/>
    <s v="Low"/>
    <x v="3"/>
    <s v="Short Stay"/>
    <x v="28"/>
    <x v="0"/>
  </r>
  <r>
    <x v="127"/>
    <x v="3"/>
    <x v="2"/>
    <x v="2"/>
    <x v="1"/>
    <x v="23"/>
    <x v="4"/>
    <x v="125"/>
    <s v="Low"/>
    <x v="7"/>
    <s v="Medium Stay"/>
    <x v="45"/>
    <x v="1"/>
  </r>
  <r>
    <x v="128"/>
    <x v="4"/>
    <x v="0"/>
    <x v="7"/>
    <x v="0"/>
    <x v="7"/>
    <x v="0"/>
    <x v="126"/>
    <s v="Medium"/>
    <x v="5"/>
    <s v="Long Stay"/>
    <x v="2"/>
    <x v="1"/>
  </r>
  <r>
    <x v="129"/>
    <x v="6"/>
    <x v="1"/>
    <x v="6"/>
    <x v="1"/>
    <x v="25"/>
    <x v="2"/>
    <x v="127"/>
    <s v="Low"/>
    <x v="6"/>
    <s v="Short Stay"/>
    <x v="49"/>
    <x v="1"/>
  </r>
  <r>
    <x v="130"/>
    <x v="2"/>
    <x v="3"/>
    <x v="5"/>
    <x v="1"/>
    <x v="43"/>
    <x v="4"/>
    <x v="128"/>
    <s v="Low"/>
    <x v="7"/>
    <s v="Medium Stay"/>
    <x v="10"/>
    <x v="1"/>
  </r>
  <r>
    <x v="131"/>
    <x v="6"/>
    <x v="0"/>
    <x v="3"/>
    <x v="0"/>
    <x v="58"/>
    <x v="2"/>
    <x v="129"/>
    <s v="Medium"/>
    <x v="9"/>
    <s v="Extended Stay"/>
    <x v="12"/>
    <x v="1"/>
  </r>
  <r>
    <x v="132"/>
    <x v="6"/>
    <x v="3"/>
    <x v="6"/>
    <x v="0"/>
    <x v="72"/>
    <x v="4"/>
    <x v="130"/>
    <s v="Low"/>
    <x v="7"/>
    <s v="Medium Stay"/>
    <x v="37"/>
    <x v="0"/>
  </r>
  <r>
    <x v="133"/>
    <x v="2"/>
    <x v="1"/>
    <x v="6"/>
    <x v="0"/>
    <x v="39"/>
    <x v="5"/>
    <x v="131"/>
    <s v="Low"/>
    <x v="3"/>
    <s v="Short Stay"/>
    <x v="6"/>
    <x v="1"/>
  </r>
  <r>
    <x v="134"/>
    <x v="4"/>
    <x v="3"/>
    <x v="8"/>
    <x v="1"/>
    <x v="67"/>
    <x v="2"/>
    <x v="132"/>
    <s v="Low"/>
    <x v="8"/>
    <s v="Medium Stay"/>
    <x v="25"/>
    <x v="0"/>
  </r>
  <r>
    <x v="135"/>
    <x v="6"/>
    <x v="3"/>
    <x v="6"/>
    <x v="0"/>
    <x v="35"/>
    <x v="6"/>
    <x v="133"/>
    <s v="Low"/>
    <x v="7"/>
    <s v="Medium Stay"/>
    <x v="47"/>
    <x v="1"/>
  </r>
  <r>
    <x v="136"/>
    <x v="6"/>
    <x v="0"/>
    <x v="6"/>
    <x v="1"/>
    <x v="38"/>
    <x v="4"/>
    <x v="134"/>
    <s v="Low"/>
    <x v="0"/>
    <s v="Long Stay"/>
    <x v="2"/>
    <x v="1"/>
  </r>
  <r>
    <x v="137"/>
    <x v="6"/>
    <x v="3"/>
    <x v="5"/>
    <x v="1"/>
    <x v="41"/>
    <x v="0"/>
    <x v="135"/>
    <s v="Low"/>
    <x v="7"/>
    <s v="Medium Stay"/>
    <x v="3"/>
    <x v="0"/>
  </r>
  <r>
    <x v="138"/>
    <x v="4"/>
    <x v="0"/>
    <x v="4"/>
    <x v="0"/>
    <x v="16"/>
    <x v="2"/>
    <x v="136"/>
    <s v="Medium"/>
    <x v="11"/>
    <s v="Long Stay"/>
    <x v="17"/>
    <x v="0"/>
  </r>
  <r>
    <x v="139"/>
    <x v="0"/>
    <x v="1"/>
    <x v="2"/>
    <x v="1"/>
    <x v="18"/>
    <x v="3"/>
    <x v="137"/>
    <s v="Low"/>
    <x v="4"/>
    <s v="Medium Stay"/>
    <x v="30"/>
    <x v="0"/>
  </r>
  <r>
    <x v="140"/>
    <x v="5"/>
    <x v="3"/>
    <x v="5"/>
    <x v="1"/>
    <x v="65"/>
    <x v="6"/>
    <x v="138"/>
    <s v="Low"/>
    <x v="8"/>
    <s v="Medium Stay"/>
    <x v="9"/>
    <x v="1"/>
  </r>
  <r>
    <x v="141"/>
    <x v="0"/>
    <x v="2"/>
    <x v="0"/>
    <x v="1"/>
    <x v="28"/>
    <x v="3"/>
    <x v="139"/>
    <s v="Low"/>
    <x v="0"/>
    <s v="Long Stay"/>
    <x v="48"/>
    <x v="1"/>
  </r>
  <r>
    <x v="142"/>
    <x v="4"/>
    <x v="3"/>
    <x v="9"/>
    <x v="0"/>
    <x v="69"/>
    <x v="2"/>
    <x v="140"/>
    <s v="Low"/>
    <x v="6"/>
    <s v="Short Stay"/>
    <x v="39"/>
    <x v="1"/>
  </r>
  <r>
    <x v="143"/>
    <x v="1"/>
    <x v="1"/>
    <x v="1"/>
    <x v="0"/>
    <x v="73"/>
    <x v="2"/>
    <x v="141"/>
    <s v="Low"/>
    <x v="3"/>
    <s v="Short Stay"/>
    <x v="1"/>
    <x v="1"/>
  </r>
  <r>
    <x v="144"/>
    <x v="4"/>
    <x v="2"/>
    <x v="6"/>
    <x v="1"/>
    <x v="62"/>
    <x v="1"/>
    <x v="142"/>
    <s v="Low"/>
    <x v="10"/>
    <s v="Long Stay"/>
    <x v="30"/>
    <x v="0"/>
  </r>
  <r>
    <x v="145"/>
    <x v="2"/>
    <x v="3"/>
    <x v="5"/>
    <x v="1"/>
    <x v="72"/>
    <x v="4"/>
    <x v="143"/>
    <s v="Low"/>
    <x v="8"/>
    <s v="Medium Stay"/>
    <x v="3"/>
    <x v="0"/>
  </r>
  <r>
    <x v="146"/>
    <x v="5"/>
    <x v="1"/>
    <x v="3"/>
    <x v="1"/>
    <x v="48"/>
    <x v="4"/>
    <x v="144"/>
    <s v="Low"/>
    <x v="6"/>
    <s v="Short Stay"/>
    <x v="7"/>
    <x v="1"/>
  </r>
  <r>
    <x v="147"/>
    <x v="3"/>
    <x v="1"/>
    <x v="1"/>
    <x v="1"/>
    <x v="7"/>
    <x v="0"/>
    <x v="145"/>
    <s v="Low"/>
    <x v="6"/>
    <s v="Short Stay"/>
    <x v="38"/>
    <x v="1"/>
  </r>
  <r>
    <x v="148"/>
    <x v="6"/>
    <x v="1"/>
    <x v="3"/>
    <x v="1"/>
    <x v="63"/>
    <x v="2"/>
    <x v="146"/>
    <s v="Low"/>
    <x v="4"/>
    <s v="Medium Stay"/>
    <x v="19"/>
    <x v="1"/>
  </r>
  <r>
    <x v="149"/>
    <x v="2"/>
    <x v="1"/>
    <x v="3"/>
    <x v="0"/>
    <x v="21"/>
    <x v="0"/>
    <x v="147"/>
    <s v="Low"/>
    <x v="6"/>
    <s v="Short Stay"/>
    <x v="1"/>
    <x v="1"/>
  </r>
  <r>
    <x v="150"/>
    <x v="0"/>
    <x v="3"/>
    <x v="1"/>
    <x v="1"/>
    <x v="32"/>
    <x v="2"/>
    <x v="148"/>
    <s v="Low"/>
    <x v="3"/>
    <s v="Short Stay"/>
    <x v="17"/>
    <x v="0"/>
  </r>
  <r>
    <x v="151"/>
    <x v="0"/>
    <x v="0"/>
    <x v="3"/>
    <x v="0"/>
    <x v="11"/>
    <x v="1"/>
    <x v="149"/>
    <s v="Medium"/>
    <x v="11"/>
    <s v="Long Stay"/>
    <x v="16"/>
    <x v="0"/>
  </r>
  <r>
    <x v="152"/>
    <x v="3"/>
    <x v="0"/>
    <x v="3"/>
    <x v="1"/>
    <x v="43"/>
    <x v="4"/>
    <x v="150"/>
    <s v="Low"/>
    <x v="1"/>
    <s v="Long Stay"/>
    <x v="29"/>
    <x v="1"/>
  </r>
  <r>
    <x v="153"/>
    <x v="6"/>
    <x v="2"/>
    <x v="2"/>
    <x v="0"/>
    <x v="74"/>
    <x v="0"/>
    <x v="151"/>
    <s v="Low"/>
    <x v="10"/>
    <s v="Long Stay"/>
    <x v="43"/>
    <x v="1"/>
  </r>
  <r>
    <x v="154"/>
    <x v="6"/>
    <x v="2"/>
    <x v="4"/>
    <x v="0"/>
    <x v="15"/>
    <x v="4"/>
    <x v="152"/>
    <s v="Low"/>
    <x v="8"/>
    <s v="Medium Stay"/>
    <x v="37"/>
    <x v="0"/>
  </r>
  <r>
    <x v="155"/>
    <x v="3"/>
    <x v="1"/>
    <x v="2"/>
    <x v="1"/>
    <x v="75"/>
    <x v="4"/>
    <x v="153"/>
    <s v="Low"/>
    <x v="6"/>
    <s v="Short Stay"/>
    <x v="5"/>
    <x v="1"/>
  </r>
  <r>
    <x v="156"/>
    <x v="1"/>
    <x v="1"/>
    <x v="4"/>
    <x v="0"/>
    <x v="76"/>
    <x v="2"/>
    <x v="154"/>
    <s v="Low"/>
    <x v="4"/>
    <s v="Medium Stay"/>
    <x v="4"/>
    <x v="1"/>
  </r>
  <r>
    <x v="157"/>
    <x v="6"/>
    <x v="2"/>
    <x v="5"/>
    <x v="0"/>
    <x v="67"/>
    <x v="2"/>
    <x v="155"/>
    <s v="Low"/>
    <x v="11"/>
    <s v="Long Stay"/>
    <x v="34"/>
    <x v="1"/>
  </r>
  <r>
    <x v="158"/>
    <x v="2"/>
    <x v="3"/>
    <x v="5"/>
    <x v="0"/>
    <x v="15"/>
    <x v="4"/>
    <x v="156"/>
    <s v="Low"/>
    <x v="8"/>
    <s v="Medium Stay"/>
    <x v="45"/>
    <x v="1"/>
  </r>
  <r>
    <x v="159"/>
    <x v="3"/>
    <x v="0"/>
    <x v="0"/>
    <x v="1"/>
    <x v="73"/>
    <x v="2"/>
    <x v="157"/>
    <s v="Low"/>
    <x v="10"/>
    <s v="Long Stay"/>
    <x v="22"/>
    <x v="1"/>
  </r>
  <r>
    <x v="160"/>
    <x v="2"/>
    <x v="3"/>
    <x v="8"/>
    <x v="1"/>
    <x v="42"/>
    <x v="2"/>
    <x v="158"/>
    <s v="Low"/>
    <x v="8"/>
    <s v="Medium Stay"/>
    <x v="50"/>
    <x v="1"/>
  </r>
  <r>
    <x v="161"/>
    <x v="0"/>
    <x v="3"/>
    <x v="8"/>
    <x v="0"/>
    <x v="77"/>
    <x v="2"/>
    <x v="159"/>
    <s v="Low"/>
    <x v="4"/>
    <s v="Medium Stay"/>
    <x v="32"/>
    <x v="1"/>
  </r>
  <r>
    <x v="162"/>
    <x v="0"/>
    <x v="2"/>
    <x v="9"/>
    <x v="1"/>
    <x v="26"/>
    <x v="0"/>
    <x v="160"/>
    <s v="Low"/>
    <x v="4"/>
    <s v="Medium Stay"/>
    <x v="30"/>
    <x v="0"/>
  </r>
  <r>
    <x v="163"/>
    <x v="5"/>
    <x v="2"/>
    <x v="0"/>
    <x v="1"/>
    <x v="39"/>
    <x v="5"/>
    <x v="161"/>
    <s v="Low"/>
    <x v="5"/>
    <s v="Long Stay"/>
    <x v="46"/>
    <x v="1"/>
  </r>
  <r>
    <x v="164"/>
    <x v="0"/>
    <x v="3"/>
    <x v="1"/>
    <x v="0"/>
    <x v="70"/>
    <x v="3"/>
    <x v="162"/>
    <s v="Low"/>
    <x v="6"/>
    <s v="Short Stay"/>
    <x v="29"/>
    <x v="1"/>
  </r>
  <r>
    <x v="165"/>
    <x v="6"/>
    <x v="3"/>
    <x v="5"/>
    <x v="0"/>
    <x v="25"/>
    <x v="2"/>
    <x v="163"/>
    <s v="Low"/>
    <x v="7"/>
    <s v="Medium Stay"/>
    <x v="40"/>
    <x v="1"/>
  </r>
  <r>
    <x v="166"/>
    <x v="6"/>
    <x v="3"/>
    <x v="4"/>
    <x v="0"/>
    <x v="60"/>
    <x v="2"/>
    <x v="164"/>
    <s v="Low"/>
    <x v="4"/>
    <s v="Medium Stay"/>
    <x v="44"/>
    <x v="1"/>
  </r>
  <r>
    <x v="167"/>
    <x v="3"/>
    <x v="2"/>
    <x v="7"/>
    <x v="1"/>
    <x v="1"/>
    <x v="1"/>
    <x v="165"/>
    <s v="Low"/>
    <x v="6"/>
    <s v="Short Stay"/>
    <x v="8"/>
    <x v="1"/>
  </r>
  <r>
    <x v="168"/>
    <x v="6"/>
    <x v="3"/>
    <x v="1"/>
    <x v="1"/>
    <x v="66"/>
    <x v="5"/>
    <x v="166"/>
    <s v="Low"/>
    <x v="3"/>
    <s v="Short Stay"/>
    <x v="29"/>
    <x v="1"/>
  </r>
  <r>
    <x v="169"/>
    <x v="0"/>
    <x v="1"/>
    <x v="2"/>
    <x v="1"/>
    <x v="18"/>
    <x v="3"/>
    <x v="167"/>
    <s v="Low"/>
    <x v="6"/>
    <s v="Short Stay"/>
    <x v="15"/>
    <x v="0"/>
  </r>
  <r>
    <x v="170"/>
    <x v="5"/>
    <x v="0"/>
    <x v="6"/>
    <x v="0"/>
    <x v="78"/>
    <x v="2"/>
    <x v="168"/>
    <s v="Low"/>
    <x v="9"/>
    <s v="Extended Stay"/>
    <x v="41"/>
    <x v="1"/>
  </r>
  <r>
    <x v="171"/>
    <x v="5"/>
    <x v="1"/>
    <x v="0"/>
    <x v="1"/>
    <x v="61"/>
    <x v="2"/>
    <x v="169"/>
    <s v="Low"/>
    <x v="6"/>
    <s v="Short Stay"/>
    <x v="13"/>
    <x v="1"/>
  </r>
  <r>
    <x v="172"/>
    <x v="0"/>
    <x v="0"/>
    <x v="6"/>
    <x v="0"/>
    <x v="31"/>
    <x v="4"/>
    <x v="170"/>
    <s v="Low"/>
    <x v="10"/>
    <s v="Long Stay"/>
    <x v="34"/>
    <x v="1"/>
  </r>
  <r>
    <x v="173"/>
    <x v="2"/>
    <x v="3"/>
    <x v="5"/>
    <x v="1"/>
    <x v="29"/>
    <x v="2"/>
    <x v="171"/>
    <s v="Low"/>
    <x v="4"/>
    <s v="Medium Stay"/>
    <x v="4"/>
    <x v="1"/>
  </r>
  <r>
    <x v="174"/>
    <x v="2"/>
    <x v="2"/>
    <x v="6"/>
    <x v="0"/>
    <x v="50"/>
    <x v="4"/>
    <x v="172"/>
    <s v="Low"/>
    <x v="4"/>
    <s v="Medium Stay"/>
    <x v="24"/>
    <x v="0"/>
  </r>
  <r>
    <x v="175"/>
    <x v="0"/>
    <x v="3"/>
    <x v="8"/>
    <x v="1"/>
    <x v="21"/>
    <x v="0"/>
    <x v="173"/>
    <s v="Low"/>
    <x v="4"/>
    <s v="Medium Stay"/>
    <x v="23"/>
    <x v="1"/>
  </r>
  <r>
    <x v="176"/>
    <x v="4"/>
    <x v="1"/>
    <x v="5"/>
    <x v="1"/>
    <x v="12"/>
    <x v="0"/>
    <x v="174"/>
    <s v="Low"/>
    <x v="6"/>
    <s v="Short Stay"/>
    <x v="48"/>
    <x v="1"/>
  </r>
  <r>
    <x v="177"/>
    <x v="3"/>
    <x v="1"/>
    <x v="5"/>
    <x v="1"/>
    <x v="47"/>
    <x v="3"/>
    <x v="97"/>
    <s v="Low"/>
    <x v="6"/>
    <s v="Short Stay"/>
    <x v="7"/>
    <x v="1"/>
  </r>
  <r>
    <x v="178"/>
    <x v="0"/>
    <x v="2"/>
    <x v="7"/>
    <x v="0"/>
    <x v="58"/>
    <x v="2"/>
    <x v="175"/>
    <s v="Low"/>
    <x v="11"/>
    <s v="Long Stay"/>
    <x v="47"/>
    <x v="1"/>
  </r>
  <r>
    <x v="179"/>
    <x v="0"/>
    <x v="0"/>
    <x v="8"/>
    <x v="1"/>
    <x v="42"/>
    <x v="2"/>
    <x v="176"/>
    <s v="Medium"/>
    <x v="12"/>
    <s v="Extended Stay"/>
    <x v="16"/>
    <x v="0"/>
  </r>
  <r>
    <x v="180"/>
    <x v="1"/>
    <x v="2"/>
    <x v="1"/>
    <x v="1"/>
    <x v="56"/>
    <x v="6"/>
    <x v="177"/>
    <s v="Low"/>
    <x v="11"/>
    <s v="Long Stay"/>
    <x v="40"/>
    <x v="1"/>
  </r>
  <r>
    <x v="181"/>
    <x v="3"/>
    <x v="1"/>
    <x v="9"/>
    <x v="0"/>
    <x v="72"/>
    <x v="4"/>
    <x v="178"/>
    <s v="Low"/>
    <x v="4"/>
    <s v="Medium Stay"/>
    <x v="48"/>
    <x v="1"/>
  </r>
  <r>
    <x v="182"/>
    <x v="1"/>
    <x v="2"/>
    <x v="1"/>
    <x v="1"/>
    <x v="24"/>
    <x v="4"/>
    <x v="179"/>
    <s v="Low"/>
    <x v="11"/>
    <s v="Long Stay"/>
    <x v="38"/>
    <x v="1"/>
  </r>
  <r>
    <x v="183"/>
    <x v="2"/>
    <x v="2"/>
    <x v="0"/>
    <x v="1"/>
    <x v="37"/>
    <x v="2"/>
    <x v="180"/>
    <s v="Low"/>
    <x v="0"/>
    <s v="Long Stay"/>
    <x v="8"/>
    <x v="1"/>
  </r>
  <r>
    <x v="184"/>
    <x v="1"/>
    <x v="3"/>
    <x v="7"/>
    <x v="0"/>
    <x v="44"/>
    <x v="4"/>
    <x v="181"/>
    <s v="Low"/>
    <x v="6"/>
    <s v="Short Stay"/>
    <x v="0"/>
    <x v="0"/>
  </r>
  <r>
    <x v="185"/>
    <x v="0"/>
    <x v="0"/>
    <x v="5"/>
    <x v="0"/>
    <x v="22"/>
    <x v="5"/>
    <x v="182"/>
    <s v="Medium"/>
    <x v="12"/>
    <s v="Extended Stay"/>
    <x v="23"/>
    <x v="1"/>
  </r>
  <r>
    <x v="186"/>
    <x v="5"/>
    <x v="3"/>
    <x v="4"/>
    <x v="1"/>
    <x v="59"/>
    <x v="0"/>
    <x v="183"/>
    <s v="Low"/>
    <x v="3"/>
    <s v="Short Stay"/>
    <x v="44"/>
    <x v="1"/>
  </r>
  <r>
    <x v="187"/>
    <x v="3"/>
    <x v="0"/>
    <x v="5"/>
    <x v="1"/>
    <x v="32"/>
    <x v="2"/>
    <x v="184"/>
    <s v="Medium"/>
    <x v="14"/>
    <s v="Extended Stay"/>
    <x v="20"/>
    <x v="1"/>
  </r>
  <r>
    <x v="188"/>
    <x v="4"/>
    <x v="1"/>
    <x v="3"/>
    <x v="1"/>
    <x v="40"/>
    <x v="2"/>
    <x v="185"/>
    <s v="Low"/>
    <x v="6"/>
    <s v="Short Stay"/>
    <x v="13"/>
    <x v="1"/>
  </r>
  <r>
    <x v="189"/>
    <x v="1"/>
    <x v="2"/>
    <x v="1"/>
    <x v="1"/>
    <x v="42"/>
    <x v="2"/>
    <x v="186"/>
    <s v="Low"/>
    <x v="6"/>
    <s v="Short Stay"/>
    <x v="1"/>
    <x v="1"/>
  </r>
  <r>
    <x v="190"/>
    <x v="4"/>
    <x v="0"/>
    <x v="0"/>
    <x v="1"/>
    <x v="22"/>
    <x v="5"/>
    <x v="187"/>
    <s v="Medium"/>
    <x v="0"/>
    <s v="Long Stay"/>
    <x v="37"/>
    <x v="0"/>
  </r>
  <r>
    <x v="191"/>
    <x v="5"/>
    <x v="2"/>
    <x v="4"/>
    <x v="1"/>
    <x v="73"/>
    <x v="2"/>
    <x v="188"/>
    <s v="Low"/>
    <x v="8"/>
    <s v="Medium Stay"/>
    <x v="29"/>
    <x v="1"/>
  </r>
  <r>
    <x v="192"/>
    <x v="4"/>
    <x v="3"/>
    <x v="2"/>
    <x v="0"/>
    <x v="42"/>
    <x v="2"/>
    <x v="189"/>
    <s v="Low"/>
    <x v="3"/>
    <s v="Short Stay"/>
    <x v="11"/>
    <x v="1"/>
  </r>
  <r>
    <x v="193"/>
    <x v="6"/>
    <x v="0"/>
    <x v="8"/>
    <x v="1"/>
    <x v="30"/>
    <x v="3"/>
    <x v="190"/>
    <s v="Medium"/>
    <x v="11"/>
    <s v="Long Stay"/>
    <x v="6"/>
    <x v="1"/>
  </r>
  <r>
    <x v="194"/>
    <x v="4"/>
    <x v="1"/>
    <x v="8"/>
    <x v="1"/>
    <x v="44"/>
    <x v="4"/>
    <x v="191"/>
    <s v="Low"/>
    <x v="6"/>
    <s v="Short Stay"/>
    <x v="9"/>
    <x v="1"/>
  </r>
  <r>
    <x v="195"/>
    <x v="6"/>
    <x v="1"/>
    <x v="4"/>
    <x v="1"/>
    <x v="56"/>
    <x v="6"/>
    <x v="192"/>
    <s v="Low"/>
    <x v="6"/>
    <s v="Short Stay"/>
    <x v="50"/>
    <x v="1"/>
  </r>
  <r>
    <x v="196"/>
    <x v="4"/>
    <x v="0"/>
    <x v="8"/>
    <x v="0"/>
    <x v="4"/>
    <x v="0"/>
    <x v="193"/>
    <s v="Low"/>
    <x v="11"/>
    <s v="Long Stay"/>
    <x v="15"/>
    <x v="0"/>
  </r>
  <r>
    <x v="197"/>
    <x v="3"/>
    <x v="0"/>
    <x v="2"/>
    <x v="0"/>
    <x v="79"/>
    <x v="2"/>
    <x v="194"/>
    <s v="Medium"/>
    <x v="1"/>
    <s v="Long Stay"/>
    <x v="15"/>
    <x v="0"/>
  </r>
  <r>
    <x v="198"/>
    <x v="5"/>
    <x v="2"/>
    <x v="7"/>
    <x v="1"/>
    <x v="68"/>
    <x v="6"/>
    <x v="195"/>
    <s v="Low"/>
    <x v="7"/>
    <s v="Medium Stay"/>
    <x v="39"/>
    <x v="1"/>
  </r>
  <r>
    <x v="199"/>
    <x v="2"/>
    <x v="3"/>
    <x v="5"/>
    <x v="1"/>
    <x v="6"/>
    <x v="2"/>
    <x v="196"/>
    <s v="Low"/>
    <x v="8"/>
    <s v="Medium Stay"/>
    <x v="37"/>
    <x v="0"/>
  </r>
  <r>
    <x v="200"/>
    <x v="2"/>
    <x v="1"/>
    <x v="1"/>
    <x v="0"/>
    <x v="29"/>
    <x v="2"/>
    <x v="197"/>
    <s v="Low"/>
    <x v="4"/>
    <s v="Medium Stay"/>
    <x v="34"/>
    <x v="1"/>
  </r>
  <r>
    <x v="201"/>
    <x v="3"/>
    <x v="1"/>
    <x v="5"/>
    <x v="1"/>
    <x v="6"/>
    <x v="2"/>
    <x v="198"/>
    <s v="Low"/>
    <x v="6"/>
    <s v="Short Stay"/>
    <x v="50"/>
    <x v="1"/>
  </r>
  <r>
    <x v="202"/>
    <x v="1"/>
    <x v="2"/>
    <x v="2"/>
    <x v="1"/>
    <x v="15"/>
    <x v="4"/>
    <x v="199"/>
    <s v="Low"/>
    <x v="6"/>
    <s v="Short Stay"/>
    <x v="19"/>
    <x v="1"/>
  </r>
  <r>
    <x v="203"/>
    <x v="5"/>
    <x v="2"/>
    <x v="5"/>
    <x v="0"/>
    <x v="80"/>
    <x v="3"/>
    <x v="200"/>
    <s v="Low"/>
    <x v="11"/>
    <s v="Long Stay"/>
    <x v="4"/>
    <x v="1"/>
  </r>
  <r>
    <x v="204"/>
    <x v="4"/>
    <x v="0"/>
    <x v="6"/>
    <x v="0"/>
    <x v="46"/>
    <x v="2"/>
    <x v="201"/>
    <s v="Medium"/>
    <x v="1"/>
    <s v="Long Stay"/>
    <x v="34"/>
    <x v="1"/>
  </r>
  <r>
    <x v="205"/>
    <x v="2"/>
    <x v="1"/>
    <x v="2"/>
    <x v="1"/>
    <x v="28"/>
    <x v="3"/>
    <x v="202"/>
    <s v="Low"/>
    <x v="3"/>
    <s v="Short Stay"/>
    <x v="47"/>
    <x v="1"/>
  </r>
  <r>
    <x v="206"/>
    <x v="0"/>
    <x v="0"/>
    <x v="2"/>
    <x v="0"/>
    <x v="5"/>
    <x v="3"/>
    <x v="203"/>
    <s v="Low"/>
    <x v="14"/>
    <s v="Extended Stay"/>
    <x v="36"/>
    <x v="1"/>
  </r>
  <r>
    <x v="207"/>
    <x v="2"/>
    <x v="3"/>
    <x v="4"/>
    <x v="1"/>
    <x v="33"/>
    <x v="0"/>
    <x v="204"/>
    <s v="Low"/>
    <x v="8"/>
    <s v="Medium Stay"/>
    <x v="15"/>
    <x v="0"/>
  </r>
  <r>
    <x v="208"/>
    <x v="5"/>
    <x v="0"/>
    <x v="4"/>
    <x v="1"/>
    <x v="65"/>
    <x v="6"/>
    <x v="205"/>
    <s v="Medium"/>
    <x v="9"/>
    <s v="Extended Stay"/>
    <x v="4"/>
    <x v="1"/>
  </r>
  <r>
    <x v="209"/>
    <x v="5"/>
    <x v="2"/>
    <x v="1"/>
    <x v="0"/>
    <x v="81"/>
    <x v="0"/>
    <x v="206"/>
    <s v="Low"/>
    <x v="8"/>
    <s v="Medium Stay"/>
    <x v="8"/>
    <x v="1"/>
  </r>
  <r>
    <x v="210"/>
    <x v="5"/>
    <x v="1"/>
    <x v="7"/>
    <x v="0"/>
    <x v="47"/>
    <x v="3"/>
    <x v="207"/>
    <s v="Low"/>
    <x v="4"/>
    <s v="Medium Stay"/>
    <x v="4"/>
    <x v="1"/>
  </r>
  <r>
    <x v="211"/>
    <x v="0"/>
    <x v="2"/>
    <x v="7"/>
    <x v="0"/>
    <x v="63"/>
    <x v="2"/>
    <x v="208"/>
    <s v="Low"/>
    <x v="4"/>
    <s v="Medium Stay"/>
    <x v="24"/>
    <x v="0"/>
  </r>
  <r>
    <x v="212"/>
    <x v="0"/>
    <x v="1"/>
    <x v="2"/>
    <x v="1"/>
    <x v="8"/>
    <x v="4"/>
    <x v="209"/>
    <s v="Low"/>
    <x v="3"/>
    <s v="Short Stay"/>
    <x v="40"/>
    <x v="1"/>
  </r>
  <r>
    <x v="213"/>
    <x v="5"/>
    <x v="1"/>
    <x v="9"/>
    <x v="1"/>
    <x v="51"/>
    <x v="6"/>
    <x v="210"/>
    <s v="Low"/>
    <x v="3"/>
    <s v="Short Stay"/>
    <x v="42"/>
    <x v="1"/>
  </r>
  <r>
    <x v="214"/>
    <x v="6"/>
    <x v="0"/>
    <x v="2"/>
    <x v="0"/>
    <x v="79"/>
    <x v="2"/>
    <x v="211"/>
    <s v="Low"/>
    <x v="9"/>
    <s v="Extended Stay"/>
    <x v="47"/>
    <x v="1"/>
  </r>
  <r>
    <x v="215"/>
    <x v="6"/>
    <x v="3"/>
    <x v="1"/>
    <x v="1"/>
    <x v="14"/>
    <x v="5"/>
    <x v="212"/>
    <s v="Low"/>
    <x v="7"/>
    <s v="Medium Stay"/>
    <x v="9"/>
    <x v="1"/>
  </r>
  <r>
    <x v="216"/>
    <x v="0"/>
    <x v="1"/>
    <x v="0"/>
    <x v="1"/>
    <x v="76"/>
    <x v="2"/>
    <x v="213"/>
    <s v="Low"/>
    <x v="3"/>
    <s v="Short Stay"/>
    <x v="36"/>
    <x v="1"/>
  </r>
  <r>
    <x v="217"/>
    <x v="2"/>
    <x v="2"/>
    <x v="6"/>
    <x v="1"/>
    <x v="26"/>
    <x v="0"/>
    <x v="214"/>
    <s v="Low"/>
    <x v="5"/>
    <s v="Long Stay"/>
    <x v="49"/>
    <x v="1"/>
  </r>
  <r>
    <x v="218"/>
    <x v="5"/>
    <x v="1"/>
    <x v="6"/>
    <x v="0"/>
    <x v="54"/>
    <x v="4"/>
    <x v="215"/>
    <s v="Low"/>
    <x v="4"/>
    <s v="Medium Stay"/>
    <x v="2"/>
    <x v="1"/>
  </r>
  <r>
    <x v="219"/>
    <x v="3"/>
    <x v="3"/>
    <x v="1"/>
    <x v="1"/>
    <x v="34"/>
    <x v="0"/>
    <x v="216"/>
    <s v="Low"/>
    <x v="8"/>
    <s v="Medium Stay"/>
    <x v="48"/>
    <x v="1"/>
  </r>
  <r>
    <x v="220"/>
    <x v="2"/>
    <x v="0"/>
    <x v="2"/>
    <x v="0"/>
    <x v="33"/>
    <x v="0"/>
    <x v="217"/>
    <s v="Low"/>
    <x v="0"/>
    <s v="Long Stay"/>
    <x v="10"/>
    <x v="1"/>
  </r>
  <r>
    <x v="221"/>
    <x v="4"/>
    <x v="3"/>
    <x v="8"/>
    <x v="1"/>
    <x v="13"/>
    <x v="5"/>
    <x v="218"/>
    <s v="Low"/>
    <x v="4"/>
    <s v="Medium Stay"/>
    <x v="38"/>
    <x v="1"/>
  </r>
  <r>
    <x v="222"/>
    <x v="4"/>
    <x v="0"/>
    <x v="8"/>
    <x v="0"/>
    <x v="26"/>
    <x v="0"/>
    <x v="219"/>
    <s v="Medium"/>
    <x v="10"/>
    <s v="Long Stay"/>
    <x v="48"/>
    <x v="1"/>
  </r>
  <r>
    <x v="223"/>
    <x v="3"/>
    <x v="0"/>
    <x v="4"/>
    <x v="0"/>
    <x v="2"/>
    <x v="2"/>
    <x v="220"/>
    <s v="Medium"/>
    <x v="0"/>
    <s v="Long Stay"/>
    <x v="29"/>
    <x v="1"/>
  </r>
  <r>
    <x v="224"/>
    <x v="1"/>
    <x v="2"/>
    <x v="6"/>
    <x v="0"/>
    <x v="51"/>
    <x v="6"/>
    <x v="221"/>
    <s v="Low"/>
    <x v="5"/>
    <s v="Long Stay"/>
    <x v="36"/>
    <x v="1"/>
  </r>
  <r>
    <x v="225"/>
    <x v="2"/>
    <x v="0"/>
    <x v="5"/>
    <x v="1"/>
    <x v="22"/>
    <x v="5"/>
    <x v="222"/>
    <s v="Medium"/>
    <x v="0"/>
    <s v="Long Stay"/>
    <x v="14"/>
    <x v="1"/>
  </r>
  <r>
    <x v="226"/>
    <x v="0"/>
    <x v="1"/>
    <x v="5"/>
    <x v="0"/>
    <x v="26"/>
    <x v="0"/>
    <x v="223"/>
    <s v="Low"/>
    <x v="3"/>
    <s v="Short Stay"/>
    <x v="19"/>
    <x v="1"/>
  </r>
  <r>
    <x v="227"/>
    <x v="3"/>
    <x v="1"/>
    <x v="1"/>
    <x v="1"/>
    <x v="53"/>
    <x v="6"/>
    <x v="224"/>
    <s v="Low"/>
    <x v="6"/>
    <s v="Short Stay"/>
    <x v="20"/>
    <x v="1"/>
  </r>
  <r>
    <x v="228"/>
    <x v="2"/>
    <x v="0"/>
    <x v="2"/>
    <x v="0"/>
    <x v="68"/>
    <x v="6"/>
    <x v="225"/>
    <s v="Low"/>
    <x v="12"/>
    <s v="Extended Stay"/>
    <x v="18"/>
    <x v="1"/>
  </r>
  <r>
    <x v="229"/>
    <x v="2"/>
    <x v="2"/>
    <x v="9"/>
    <x v="0"/>
    <x v="82"/>
    <x v="5"/>
    <x v="226"/>
    <s v="Low"/>
    <x v="4"/>
    <s v="Medium Stay"/>
    <x v="41"/>
    <x v="1"/>
  </r>
  <r>
    <x v="230"/>
    <x v="5"/>
    <x v="0"/>
    <x v="2"/>
    <x v="0"/>
    <x v="17"/>
    <x v="2"/>
    <x v="227"/>
    <s v="Medium"/>
    <x v="7"/>
    <s v="Medium Stay"/>
    <x v="4"/>
    <x v="1"/>
  </r>
  <r>
    <x v="231"/>
    <x v="6"/>
    <x v="1"/>
    <x v="0"/>
    <x v="0"/>
    <x v="36"/>
    <x v="4"/>
    <x v="228"/>
    <s v="Low"/>
    <x v="4"/>
    <s v="Medium Stay"/>
    <x v="38"/>
    <x v="1"/>
  </r>
  <r>
    <x v="232"/>
    <x v="5"/>
    <x v="0"/>
    <x v="4"/>
    <x v="1"/>
    <x v="32"/>
    <x v="2"/>
    <x v="229"/>
    <s v="Medium"/>
    <x v="10"/>
    <s v="Long Stay"/>
    <x v="15"/>
    <x v="0"/>
  </r>
  <r>
    <x v="233"/>
    <x v="2"/>
    <x v="2"/>
    <x v="7"/>
    <x v="1"/>
    <x v="83"/>
    <x v="2"/>
    <x v="230"/>
    <s v="Low"/>
    <x v="8"/>
    <s v="Medium Stay"/>
    <x v="15"/>
    <x v="0"/>
  </r>
  <r>
    <x v="234"/>
    <x v="0"/>
    <x v="1"/>
    <x v="6"/>
    <x v="0"/>
    <x v="51"/>
    <x v="6"/>
    <x v="231"/>
    <s v="Low"/>
    <x v="4"/>
    <s v="Medium Stay"/>
    <x v="15"/>
    <x v="0"/>
  </r>
  <r>
    <x v="235"/>
    <x v="4"/>
    <x v="0"/>
    <x v="3"/>
    <x v="1"/>
    <x v="84"/>
    <x v="5"/>
    <x v="232"/>
    <s v="Medium"/>
    <x v="7"/>
    <s v="Medium Stay"/>
    <x v="34"/>
    <x v="1"/>
  </r>
  <r>
    <x v="236"/>
    <x v="5"/>
    <x v="1"/>
    <x v="2"/>
    <x v="1"/>
    <x v="11"/>
    <x v="1"/>
    <x v="233"/>
    <s v="Low"/>
    <x v="4"/>
    <s v="Medium Stay"/>
    <x v="49"/>
    <x v="1"/>
  </r>
  <r>
    <x v="237"/>
    <x v="5"/>
    <x v="2"/>
    <x v="0"/>
    <x v="0"/>
    <x v="81"/>
    <x v="0"/>
    <x v="234"/>
    <s v="Low"/>
    <x v="4"/>
    <s v="Medium Stay"/>
    <x v="48"/>
    <x v="1"/>
  </r>
  <r>
    <x v="238"/>
    <x v="4"/>
    <x v="1"/>
    <x v="6"/>
    <x v="0"/>
    <x v="48"/>
    <x v="4"/>
    <x v="235"/>
    <s v="Low"/>
    <x v="3"/>
    <s v="Short Stay"/>
    <x v="12"/>
    <x v="1"/>
  </r>
  <r>
    <x v="239"/>
    <x v="0"/>
    <x v="1"/>
    <x v="4"/>
    <x v="0"/>
    <x v="57"/>
    <x v="2"/>
    <x v="123"/>
    <s v="Low"/>
    <x v="3"/>
    <s v="Short Stay"/>
    <x v="16"/>
    <x v="0"/>
  </r>
  <r>
    <x v="240"/>
    <x v="4"/>
    <x v="0"/>
    <x v="8"/>
    <x v="0"/>
    <x v="82"/>
    <x v="5"/>
    <x v="236"/>
    <s v="Medium"/>
    <x v="5"/>
    <s v="Long Stay"/>
    <x v="34"/>
    <x v="1"/>
  </r>
  <r>
    <x v="241"/>
    <x v="1"/>
    <x v="0"/>
    <x v="4"/>
    <x v="0"/>
    <x v="85"/>
    <x v="0"/>
    <x v="237"/>
    <s v="Medium"/>
    <x v="13"/>
    <s v="Extended Stay"/>
    <x v="28"/>
    <x v="0"/>
  </r>
  <r>
    <x v="242"/>
    <x v="4"/>
    <x v="3"/>
    <x v="6"/>
    <x v="1"/>
    <x v="5"/>
    <x v="3"/>
    <x v="238"/>
    <s v="Low"/>
    <x v="7"/>
    <s v="Medium Stay"/>
    <x v="13"/>
    <x v="1"/>
  </r>
  <r>
    <x v="243"/>
    <x v="5"/>
    <x v="0"/>
    <x v="5"/>
    <x v="0"/>
    <x v="44"/>
    <x v="4"/>
    <x v="239"/>
    <s v="Medium"/>
    <x v="2"/>
    <s v="Extended Stay"/>
    <x v="0"/>
    <x v="0"/>
  </r>
  <r>
    <x v="244"/>
    <x v="0"/>
    <x v="3"/>
    <x v="0"/>
    <x v="1"/>
    <x v="45"/>
    <x v="2"/>
    <x v="240"/>
    <s v="Low"/>
    <x v="3"/>
    <s v="Short Stay"/>
    <x v="29"/>
    <x v="1"/>
  </r>
  <r>
    <x v="245"/>
    <x v="1"/>
    <x v="3"/>
    <x v="4"/>
    <x v="1"/>
    <x v="69"/>
    <x v="2"/>
    <x v="241"/>
    <s v="Low"/>
    <x v="7"/>
    <s v="Medium Stay"/>
    <x v="44"/>
    <x v="1"/>
  </r>
  <r>
    <x v="246"/>
    <x v="0"/>
    <x v="1"/>
    <x v="4"/>
    <x v="1"/>
    <x v="30"/>
    <x v="3"/>
    <x v="242"/>
    <s v="Low"/>
    <x v="3"/>
    <s v="Short Stay"/>
    <x v="41"/>
    <x v="1"/>
  </r>
  <r>
    <x v="247"/>
    <x v="5"/>
    <x v="1"/>
    <x v="4"/>
    <x v="0"/>
    <x v="0"/>
    <x v="0"/>
    <x v="243"/>
    <s v="Low"/>
    <x v="3"/>
    <s v="Short Stay"/>
    <x v="0"/>
    <x v="0"/>
  </r>
  <r>
    <x v="248"/>
    <x v="3"/>
    <x v="1"/>
    <x v="2"/>
    <x v="1"/>
    <x v="27"/>
    <x v="2"/>
    <x v="244"/>
    <s v="Low"/>
    <x v="6"/>
    <s v="Short Stay"/>
    <x v="15"/>
    <x v="0"/>
  </r>
  <r>
    <x v="249"/>
    <x v="5"/>
    <x v="1"/>
    <x v="9"/>
    <x v="2"/>
    <x v="33"/>
    <x v="0"/>
    <x v="245"/>
    <s v="Low"/>
    <x v="6"/>
    <s v="Short Stay"/>
    <x v="49"/>
    <x v="1"/>
  </r>
  <r>
    <x v="250"/>
    <x v="1"/>
    <x v="3"/>
    <x v="5"/>
    <x v="1"/>
    <x v="31"/>
    <x v="4"/>
    <x v="246"/>
    <s v="Low"/>
    <x v="4"/>
    <s v="Medium Stay"/>
    <x v="25"/>
    <x v="0"/>
  </r>
  <r>
    <x v="251"/>
    <x v="5"/>
    <x v="0"/>
    <x v="2"/>
    <x v="0"/>
    <x v="55"/>
    <x v="0"/>
    <x v="247"/>
    <s v="Medium"/>
    <x v="0"/>
    <s v="Long Stay"/>
    <x v="28"/>
    <x v="0"/>
  </r>
  <r>
    <x v="252"/>
    <x v="0"/>
    <x v="3"/>
    <x v="4"/>
    <x v="0"/>
    <x v="64"/>
    <x v="6"/>
    <x v="248"/>
    <s v="Low"/>
    <x v="6"/>
    <s v="Short Stay"/>
    <x v="22"/>
    <x v="1"/>
  </r>
  <r>
    <x v="253"/>
    <x v="6"/>
    <x v="1"/>
    <x v="0"/>
    <x v="1"/>
    <x v="46"/>
    <x v="2"/>
    <x v="249"/>
    <s v="Low"/>
    <x v="6"/>
    <s v="Short Stay"/>
    <x v="14"/>
    <x v="1"/>
  </r>
  <r>
    <x v="254"/>
    <x v="3"/>
    <x v="0"/>
    <x v="5"/>
    <x v="1"/>
    <x v="61"/>
    <x v="2"/>
    <x v="250"/>
    <s v="Medium"/>
    <x v="12"/>
    <s v="Extended Stay"/>
    <x v="15"/>
    <x v="0"/>
  </r>
  <r>
    <x v="255"/>
    <x v="4"/>
    <x v="0"/>
    <x v="7"/>
    <x v="0"/>
    <x v="86"/>
    <x v="2"/>
    <x v="251"/>
    <s v="Low"/>
    <x v="14"/>
    <s v="Extended Stay"/>
    <x v="23"/>
    <x v="1"/>
  </r>
  <r>
    <x v="256"/>
    <x v="0"/>
    <x v="2"/>
    <x v="7"/>
    <x v="0"/>
    <x v="25"/>
    <x v="2"/>
    <x v="252"/>
    <s v="Low"/>
    <x v="8"/>
    <s v="Medium Stay"/>
    <x v="15"/>
    <x v="0"/>
  </r>
  <r>
    <x v="257"/>
    <x v="3"/>
    <x v="1"/>
    <x v="2"/>
    <x v="0"/>
    <x v="28"/>
    <x v="3"/>
    <x v="253"/>
    <s v="Low"/>
    <x v="3"/>
    <s v="Short Stay"/>
    <x v="41"/>
    <x v="1"/>
  </r>
  <r>
    <x v="258"/>
    <x v="3"/>
    <x v="2"/>
    <x v="7"/>
    <x v="1"/>
    <x v="13"/>
    <x v="5"/>
    <x v="254"/>
    <s v="Low"/>
    <x v="11"/>
    <s v="Long Stay"/>
    <x v="42"/>
    <x v="1"/>
  </r>
  <r>
    <x v="259"/>
    <x v="6"/>
    <x v="0"/>
    <x v="3"/>
    <x v="1"/>
    <x v="25"/>
    <x v="2"/>
    <x v="255"/>
    <s v="Low"/>
    <x v="0"/>
    <s v="Long Stay"/>
    <x v="17"/>
    <x v="0"/>
  </r>
  <r>
    <x v="260"/>
    <x v="5"/>
    <x v="0"/>
    <x v="2"/>
    <x v="0"/>
    <x v="58"/>
    <x v="2"/>
    <x v="256"/>
    <s v="Medium"/>
    <x v="0"/>
    <s v="Long Stay"/>
    <x v="9"/>
    <x v="1"/>
  </r>
  <r>
    <x v="261"/>
    <x v="0"/>
    <x v="2"/>
    <x v="1"/>
    <x v="1"/>
    <x v="1"/>
    <x v="1"/>
    <x v="257"/>
    <s v="Low"/>
    <x v="6"/>
    <s v="Short Stay"/>
    <x v="24"/>
    <x v="0"/>
  </r>
  <r>
    <x v="262"/>
    <x v="6"/>
    <x v="2"/>
    <x v="9"/>
    <x v="0"/>
    <x v="43"/>
    <x v="4"/>
    <x v="258"/>
    <s v="Low"/>
    <x v="6"/>
    <s v="Short Stay"/>
    <x v="12"/>
    <x v="1"/>
  </r>
  <r>
    <x v="263"/>
    <x v="0"/>
    <x v="2"/>
    <x v="3"/>
    <x v="1"/>
    <x v="63"/>
    <x v="2"/>
    <x v="259"/>
    <s v="Low"/>
    <x v="10"/>
    <s v="Long Stay"/>
    <x v="23"/>
    <x v="1"/>
  </r>
  <r>
    <x v="264"/>
    <x v="1"/>
    <x v="0"/>
    <x v="7"/>
    <x v="1"/>
    <x v="61"/>
    <x v="2"/>
    <x v="260"/>
    <s v="Medium"/>
    <x v="1"/>
    <s v="Long Stay"/>
    <x v="47"/>
    <x v="1"/>
  </r>
  <r>
    <x v="265"/>
    <x v="2"/>
    <x v="3"/>
    <x v="4"/>
    <x v="0"/>
    <x v="12"/>
    <x v="0"/>
    <x v="261"/>
    <s v="Low"/>
    <x v="8"/>
    <s v="Medium Stay"/>
    <x v="29"/>
    <x v="1"/>
  </r>
  <r>
    <x v="266"/>
    <x v="6"/>
    <x v="2"/>
    <x v="2"/>
    <x v="0"/>
    <x v="12"/>
    <x v="0"/>
    <x v="262"/>
    <s v="Low"/>
    <x v="5"/>
    <s v="Long Stay"/>
    <x v="45"/>
    <x v="1"/>
  </r>
  <r>
    <x v="267"/>
    <x v="5"/>
    <x v="1"/>
    <x v="9"/>
    <x v="1"/>
    <x v="70"/>
    <x v="3"/>
    <x v="263"/>
    <s v="Low"/>
    <x v="6"/>
    <s v="Short Stay"/>
    <x v="26"/>
    <x v="1"/>
  </r>
  <r>
    <x v="268"/>
    <x v="4"/>
    <x v="3"/>
    <x v="7"/>
    <x v="0"/>
    <x v="46"/>
    <x v="2"/>
    <x v="264"/>
    <s v="Low"/>
    <x v="6"/>
    <s v="Short Stay"/>
    <x v="37"/>
    <x v="0"/>
  </r>
  <r>
    <x v="269"/>
    <x v="3"/>
    <x v="1"/>
    <x v="2"/>
    <x v="1"/>
    <x v="85"/>
    <x v="0"/>
    <x v="265"/>
    <s v="Low"/>
    <x v="3"/>
    <s v="Short Stay"/>
    <x v="46"/>
    <x v="1"/>
  </r>
  <r>
    <x v="270"/>
    <x v="4"/>
    <x v="1"/>
    <x v="9"/>
    <x v="1"/>
    <x v="49"/>
    <x v="4"/>
    <x v="266"/>
    <s v="Low"/>
    <x v="3"/>
    <s v="Short Stay"/>
    <x v="42"/>
    <x v="1"/>
  </r>
  <r>
    <x v="271"/>
    <x v="4"/>
    <x v="1"/>
    <x v="3"/>
    <x v="0"/>
    <x v="56"/>
    <x v="6"/>
    <x v="267"/>
    <s v="Low"/>
    <x v="3"/>
    <s v="Short Stay"/>
    <x v="27"/>
    <x v="1"/>
  </r>
  <r>
    <x v="272"/>
    <x v="0"/>
    <x v="2"/>
    <x v="8"/>
    <x v="1"/>
    <x v="44"/>
    <x v="4"/>
    <x v="268"/>
    <s v="Low"/>
    <x v="11"/>
    <s v="Long Stay"/>
    <x v="49"/>
    <x v="1"/>
  </r>
  <r>
    <x v="273"/>
    <x v="5"/>
    <x v="2"/>
    <x v="5"/>
    <x v="1"/>
    <x v="20"/>
    <x v="4"/>
    <x v="269"/>
    <s v="Low"/>
    <x v="10"/>
    <s v="Long Stay"/>
    <x v="26"/>
    <x v="1"/>
  </r>
  <r>
    <x v="274"/>
    <x v="0"/>
    <x v="0"/>
    <x v="7"/>
    <x v="0"/>
    <x v="75"/>
    <x v="4"/>
    <x v="270"/>
    <s v="Medium"/>
    <x v="11"/>
    <s v="Long Stay"/>
    <x v="14"/>
    <x v="1"/>
  </r>
  <r>
    <x v="275"/>
    <x v="5"/>
    <x v="3"/>
    <x v="9"/>
    <x v="0"/>
    <x v="44"/>
    <x v="4"/>
    <x v="271"/>
    <s v="Low"/>
    <x v="3"/>
    <s v="Short Stay"/>
    <x v="32"/>
    <x v="1"/>
  </r>
  <r>
    <x v="276"/>
    <x v="1"/>
    <x v="3"/>
    <x v="4"/>
    <x v="0"/>
    <x v="57"/>
    <x v="2"/>
    <x v="272"/>
    <s v="Low"/>
    <x v="6"/>
    <s v="Short Stay"/>
    <x v="20"/>
    <x v="1"/>
  </r>
  <r>
    <x v="277"/>
    <x v="2"/>
    <x v="3"/>
    <x v="4"/>
    <x v="0"/>
    <x v="12"/>
    <x v="0"/>
    <x v="273"/>
    <s v="Low"/>
    <x v="8"/>
    <s v="Medium Stay"/>
    <x v="26"/>
    <x v="1"/>
  </r>
  <r>
    <x v="278"/>
    <x v="0"/>
    <x v="2"/>
    <x v="1"/>
    <x v="1"/>
    <x v="40"/>
    <x v="2"/>
    <x v="274"/>
    <s v="Low"/>
    <x v="5"/>
    <s v="Long Stay"/>
    <x v="28"/>
    <x v="0"/>
  </r>
  <r>
    <x v="279"/>
    <x v="2"/>
    <x v="2"/>
    <x v="6"/>
    <x v="0"/>
    <x v="36"/>
    <x v="4"/>
    <x v="275"/>
    <s v="Low"/>
    <x v="4"/>
    <s v="Medium Stay"/>
    <x v="2"/>
    <x v="1"/>
  </r>
  <r>
    <x v="280"/>
    <x v="2"/>
    <x v="2"/>
    <x v="0"/>
    <x v="0"/>
    <x v="41"/>
    <x v="0"/>
    <x v="276"/>
    <s v="Low"/>
    <x v="7"/>
    <s v="Medium Stay"/>
    <x v="16"/>
    <x v="0"/>
  </r>
  <r>
    <x v="281"/>
    <x v="1"/>
    <x v="1"/>
    <x v="7"/>
    <x v="0"/>
    <x v="29"/>
    <x v="2"/>
    <x v="277"/>
    <s v="Low"/>
    <x v="6"/>
    <s v="Short Stay"/>
    <x v="44"/>
    <x v="1"/>
  </r>
  <r>
    <x v="282"/>
    <x v="6"/>
    <x v="3"/>
    <x v="0"/>
    <x v="0"/>
    <x v="37"/>
    <x v="2"/>
    <x v="278"/>
    <s v="Low"/>
    <x v="6"/>
    <s v="Short Stay"/>
    <x v="38"/>
    <x v="1"/>
  </r>
  <r>
    <x v="283"/>
    <x v="4"/>
    <x v="2"/>
    <x v="8"/>
    <x v="1"/>
    <x v="19"/>
    <x v="2"/>
    <x v="279"/>
    <s v="Low"/>
    <x v="1"/>
    <s v="Long Stay"/>
    <x v="33"/>
    <x v="1"/>
  </r>
  <r>
    <x v="284"/>
    <x v="6"/>
    <x v="1"/>
    <x v="0"/>
    <x v="0"/>
    <x v="57"/>
    <x v="2"/>
    <x v="280"/>
    <s v="Low"/>
    <x v="4"/>
    <s v="Medium Stay"/>
    <x v="34"/>
    <x v="1"/>
  </r>
  <r>
    <x v="285"/>
    <x v="0"/>
    <x v="1"/>
    <x v="2"/>
    <x v="1"/>
    <x v="66"/>
    <x v="5"/>
    <x v="281"/>
    <s v="Low"/>
    <x v="4"/>
    <s v="Medium Stay"/>
    <x v="47"/>
    <x v="1"/>
  </r>
  <r>
    <x v="286"/>
    <x v="2"/>
    <x v="2"/>
    <x v="3"/>
    <x v="0"/>
    <x v="39"/>
    <x v="5"/>
    <x v="282"/>
    <s v="Low"/>
    <x v="10"/>
    <s v="Long Stay"/>
    <x v="14"/>
    <x v="1"/>
  </r>
  <r>
    <x v="287"/>
    <x v="5"/>
    <x v="3"/>
    <x v="3"/>
    <x v="0"/>
    <x v="71"/>
    <x v="5"/>
    <x v="283"/>
    <s v="Low"/>
    <x v="4"/>
    <s v="Medium Stay"/>
    <x v="43"/>
    <x v="1"/>
  </r>
  <r>
    <x v="288"/>
    <x v="5"/>
    <x v="2"/>
    <x v="3"/>
    <x v="1"/>
    <x v="76"/>
    <x v="2"/>
    <x v="284"/>
    <s v="Low"/>
    <x v="1"/>
    <s v="Long Stay"/>
    <x v="11"/>
    <x v="1"/>
  </r>
  <r>
    <x v="289"/>
    <x v="6"/>
    <x v="2"/>
    <x v="7"/>
    <x v="1"/>
    <x v="33"/>
    <x v="0"/>
    <x v="285"/>
    <s v="Low"/>
    <x v="4"/>
    <s v="Medium Stay"/>
    <x v="8"/>
    <x v="1"/>
  </r>
  <r>
    <x v="290"/>
    <x v="4"/>
    <x v="2"/>
    <x v="6"/>
    <x v="1"/>
    <x v="16"/>
    <x v="2"/>
    <x v="286"/>
    <s v="Low"/>
    <x v="11"/>
    <s v="Long Stay"/>
    <x v="3"/>
    <x v="0"/>
  </r>
  <r>
    <x v="291"/>
    <x v="5"/>
    <x v="3"/>
    <x v="5"/>
    <x v="0"/>
    <x v="58"/>
    <x v="2"/>
    <x v="287"/>
    <s v="Low"/>
    <x v="6"/>
    <s v="Short Stay"/>
    <x v="19"/>
    <x v="1"/>
  </r>
  <r>
    <x v="292"/>
    <x v="0"/>
    <x v="3"/>
    <x v="9"/>
    <x v="1"/>
    <x v="23"/>
    <x v="4"/>
    <x v="288"/>
    <s v="Low"/>
    <x v="8"/>
    <s v="Medium Stay"/>
    <x v="7"/>
    <x v="1"/>
  </r>
  <r>
    <x v="293"/>
    <x v="0"/>
    <x v="3"/>
    <x v="0"/>
    <x v="0"/>
    <x v="14"/>
    <x v="5"/>
    <x v="289"/>
    <s v="Low"/>
    <x v="8"/>
    <s v="Medium Stay"/>
    <x v="43"/>
    <x v="1"/>
  </r>
  <r>
    <x v="294"/>
    <x v="0"/>
    <x v="3"/>
    <x v="3"/>
    <x v="1"/>
    <x v="86"/>
    <x v="2"/>
    <x v="290"/>
    <s v="Low"/>
    <x v="3"/>
    <s v="Short Stay"/>
    <x v="24"/>
    <x v="0"/>
  </r>
  <r>
    <x v="295"/>
    <x v="2"/>
    <x v="3"/>
    <x v="2"/>
    <x v="0"/>
    <x v="11"/>
    <x v="1"/>
    <x v="291"/>
    <s v="Low"/>
    <x v="8"/>
    <s v="Medium Stay"/>
    <x v="39"/>
    <x v="1"/>
  </r>
  <r>
    <x v="296"/>
    <x v="1"/>
    <x v="1"/>
    <x v="6"/>
    <x v="1"/>
    <x v="7"/>
    <x v="0"/>
    <x v="292"/>
    <s v="Low"/>
    <x v="3"/>
    <s v="Short Stay"/>
    <x v="18"/>
    <x v="1"/>
  </r>
  <r>
    <x v="297"/>
    <x v="5"/>
    <x v="0"/>
    <x v="4"/>
    <x v="1"/>
    <x v="86"/>
    <x v="2"/>
    <x v="293"/>
    <s v="Medium"/>
    <x v="2"/>
    <s v="Extended Stay"/>
    <x v="12"/>
    <x v="1"/>
  </r>
  <r>
    <x v="298"/>
    <x v="3"/>
    <x v="1"/>
    <x v="3"/>
    <x v="1"/>
    <x v="53"/>
    <x v="6"/>
    <x v="294"/>
    <s v="Low"/>
    <x v="3"/>
    <s v="Short Stay"/>
    <x v="16"/>
    <x v="0"/>
  </r>
  <r>
    <x v="299"/>
    <x v="4"/>
    <x v="2"/>
    <x v="7"/>
    <x v="1"/>
    <x v="4"/>
    <x v="0"/>
    <x v="295"/>
    <s v="Low"/>
    <x v="7"/>
    <s v="Medium Stay"/>
    <x v="39"/>
    <x v="1"/>
  </r>
  <r>
    <x v="300"/>
    <x v="2"/>
    <x v="1"/>
    <x v="8"/>
    <x v="0"/>
    <x v="80"/>
    <x v="3"/>
    <x v="296"/>
    <s v="Low"/>
    <x v="4"/>
    <s v="Medium Stay"/>
    <x v="7"/>
    <x v="1"/>
  </r>
  <r>
    <x v="301"/>
    <x v="3"/>
    <x v="3"/>
    <x v="6"/>
    <x v="1"/>
    <x v="0"/>
    <x v="0"/>
    <x v="297"/>
    <s v="Low"/>
    <x v="4"/>
    <s v="Medium Stay"/>
    <x v="4"/>
    <x v="1"/>
  </r>
  <r>
    <x v="302"/>
    <x v="3"/>
    <x v="1"/>
    <x v="3"/>
    <x v="0"/>
    <x v="55"/>
    <x v="0"/>
    <x v="298"/>
    <s v="Low"/>
    <x v="4"/>
    <s v="Medium Stay"/>
    <x v="6"/>
    <x v="1"/>
  </r>
  <r>
    <x v="303"/>
    <x v="1"/>
    <x v="2"/>
    <x v="4"/>
    <x v="0"/>
    <x v="28"/>
    <x v="3"/>
    <x v="299"/>
    <s v="Low"/>
    <x v="4"/>
    <s v="Medium Stay"/>
    <x v="23"/>
    <x v="1"/>
  </r>
  <r>
    <x v="304"/>
    <x v="5"/>
    <x v="3"/>
    <x v="8"/>
    <x v="0"/>
    <x v="85"/>
    <x v="0"/>
    <x v="300"/>
    <s v="Low"/>
    <x v="4"/>
    <s v="Medium Stay"/>
    <x v="48"/>
    <x v="1"/>
  </r>
  <r>
    <x v="305"/>
    <x v="2"/>
    <x v="3"/>
    <x v="9"/>
    <x v="0"/>
    <x v="61"/>
    <x v="2"/>
    <x v="3"/>
    <s v="Low"/>
    <x v="8"/>
    <s v="Medium Stay"/>
    <x v="0"/>
    <x v="0"/>
  </r>
  <r>
    <x v="306"/>
    <x v="2"/>
    <x v="2"/>
    <x v="8"/>
    <x v="0"/>
    <x v="67"/>
    <x v="2"/>
    <x v="301"/>
    <s v="Low"/>
    <x v="7"/>
    <s v="Medium Stay"/>
    <x v="37"/>
    <x v="0"/>
  </r>
  <r>
    <x v="307"/>
    <x v="3"/>
    <x v="0"/>
    <x v="2"/>
    <x v="1"/>
    <x v="8"/>
    <x v="4"/>
    <x v="302"/>
    <s v="Low"/>
    <x v="13"/>
    <s v="Extended Stay"/>
    <x v="45"/>
    <x v="1"/>
  </r>
  <r>
    <x v="308"/>
    <x v="1"/>
    <x v="3"/>
    <x v="1"/>
    <x v="0"/>
    <x v="9"/>
    <x v="5"/>
    <x v="303"/>
    <s v="Low"/>
    <x v="7"/>
    <s v="Medium Stay"/>
    <x v="36"/>
    <x v="1"/>
  </r>
  <r>
    <x v="309"/>
    <x v="1"/>
    <x v="3"/>
    <x v="1"/>
    <x v="1"/>
    <x v="40"/>
    <x v="2"/>
    <x v="304"/>
    <s v="Low"/>
    <x v="3"/>
    <s v="Short Stay"/>
    <x v="23"/>
    <x v="1"/>
  </r>
  <r>
    <x v="310"/>
    <x v="3"/>
    <x v="1"/>
    <x v="6"/>
    <x v="0"/>
    <x v="27"/>
    <x v="2"/>
    <x v="305"/>
    <s v="Low"/>
    <x v="4"/>
    <s v="Medium Stay"/>
    <x v="35"/>
    <x v="1"/>
  </r>
  <r>
    <x v="311"/>
    <x v="0"/>
    <x v="0"/>
    <x v="8"/>
    <x v="1"/>
    <x v="3"/>
    <x v="1"/>
    <x v="306"/>
    <s v="Medium"/>
    <x v="1"/>
    <s v="Long Stay"/>
    <x v="50"/>
    <x v="1"/>
  </r>
  <r>
    <x v="312"/>
    <x v="1"/>
    <x v="0"/>
    <x v="8"/>
    <x v="1"/>
    <x v="18"/>
    <x v="3"/>
    <x v="307"/>
    <s v="Medium"/>
    <x v="7"/>
    <s v="Medium Stay"/>
    <x v="21"/>
    <x v="1"/>
  </r>
  <r>
    <x v="313"/>
    <x v="4"/>
    <x v="0"/>
    <x v="3"/>
    <x v="1"/>
    <x v="51"/>
    <x v="6"/>
    <x v="308"/>
    <s v="Medium"/>
    <x v="9"/>
    <s v="Extended Stay"/>
    <x v="16"/>
    <x v="0"/>
  </r>
  <r>
    <x v="314"/>
    <x v="0"/>
    <x v="1"/>
    <x v="4"/>
    <x v="2"/>
    <x v="54"/>
    <x v="4"/>
    <x v="309"/>
    <s v="Low"/>
    <x v="6"/>
    <s v="Short Stay"/>
    <x v="4"/>
    <x v="1"/>
  </r>
  <r>
    <x v="315"/>
    <x v="1"/>
    <x v="3"/>
    <x v="4"/>
    <x v="1"/>
    <x v="16"/>
    <x v="2"/>
    <x v="310"/>
    <s v="Low"/>
    <x v="7"/>
    <s v="Medium Stay"/>
    <x v="29"/>
    <x v="1"/>
  </r>
  <r>
    <x v="316"/>
    <x v="0"/>
    <x v="3"/>
    <x v="0"/>
    <x v="0"/>
    <x v="55"/>
    <x v="0"/>
    <x v="311"/>
    <s v="Low"/>
    <x v="7"/>
    <s v="Medium Stay"/>
    <x v="13"/>
    <x v="1"/>
  </r>
  <r>
    <x v="317"/>
    <x v="2"/>
    <x v="1"/>
    <x v="9"/>
    <x v="1"/>
    <x v="72"/>
    <x v="4"/>
    <x v="210"/>
    <s v="Low"/>
    <x v="6"/>
    <s v="Short Stay"/>
    <x v="49"/>
    <x v="1"/>
  </r>
  <r>
    <x v="318"/>
    <x v="0"/>
    <x v="0"/>
    <x v="0"/>
    <x v="0"/>
    <x v="43"/>
    <x v="4"/>
    <x v="312"/>
    <s v="Medium"/>
    <x v="7"/>
    <s v="Medium Stay"/>
    <x v="22"/>
    <x v="1"/>
  </r>
  <r>
    <x v="319"/>
    <x v="3"/>
    <x v="0"/>
    <x v="5"/>
    <x v="0"/>
    <x v="20"/>
    <x v="4"/>
    <x v="313"/>
    <s v="Medium"/>
    <x v="9"/>
    <s v="Extended Stay"/>
    <x v="28"/>
    <x v="0"/>
  </r>
  <r>
    <x v="320"/>
    <x v="6"/>
    <x v="0"/>
    <x v="9"/>
    <x v="0"/>
    <x v="44"/>
    <x v="4"/>
    <x v="314"/>
    <s v="Medium"/>
    <x v="1"/>
    <s v="Long Stay"/>
    <x v="5"/>
    <x v="1"/>
  </r>
  <r>
    <x v="321"/>
    <x v="3"/>
    <x v="0"/>
    <x v="7"/>
    <x v="0"/>
    <x v="7"/>
    <x v="0"/>
    <x v="315"/>
    <s v="Low"/>
    <x v="13"/>
    <s v="Extended Stay"/>
    <x v="34"/>
    <x v="1"/>
  </r>
  <r>
    <x v="322"/>
    <x v="2"/>
    <x v="2"/>
    <x v="9"/>
    <x v="1"/>
    <x v="68"/>
    <x v="6"/>
    <x v="316"/>
    <s v="Low"/>
    <x v="11"/>
    <s v="Long Stay"/>
    <x v="1"/>
    <x v="1"/>
  </r>
  <r>
    <x v="323"/>
    <x v="4"/>
    <x v="2"/>
    <x v="3"/>
    <x v="1"/>
    <x v="58"/>
    <x v="2"/>
    <x v="317"/>
    <s v="Low"/>
    <x v="1"/>
    <s v="Long Stay"/>
    <x v="14"/>
    <x v="1"/>
  </r>
  <r>
    <x v="324"/>
    <x v="4"/>
    <x v="0"/>
    <x v="4"/>
    <x v="0"/>
    <x v="42"/>
    <x v="2"/>
    <x v="318"/>
    <s v="Medium"/>
    <x v="2"/>
    <s v="Extended Stay"/>
    <x v="34"/>
    <x v="1"/>
  </r>
  <r>
    <x v="325"/>
    <x v="0"/>
    <x v="1"/>
    <x v="8"/>
    <x v="1"/>
    <x v="54"/>
    <x v="4"/>
    <x v="319"/>
    <s v="Low"/>
    <x v="4"/>
    <s v="Medium Stay"/>
    <x v="43"/>
    <x v="1"/>
  </r>
  <r>
    <x v="326"/>
    <x v="3"/>
    <x v="3"/>
    <x v="3"/>
    <x v="0"/>
    <x v="68"/>
    <x v="6"/>
    <x v="320"/>
    <s v="Low"/>
    <x v="3"/>
    <s v="Short Stay"/>
    <x v="14"/>
    <x v="1"/>
  </r>
  <r>
    <x v="327"/>
    <x v="4"/>
    <x v="1"/>
    <x v="2"/>
    <x v="0"/>
    <x v="48"/>
    <x v="4"/>
    <x v="321"/>
    <s v="Low"/>
    <x v="6"/>
    <s v="Short Stay"/>
    <x v="40"/>
    <x v="1"/>
  </r>
  <r>
    <x v="328"/>
    <x v="5"/>
    <x v="0"/>
    <x v="6"/>
    <x v="0"/>
    <x v="80"/>
    <x v="3"/>
    <x v="322"/>
    <s v="Medium"/>
    <x v="1"/>
    <s v="Long Stay"/>
    <x v="19"/>
    <x v="1"/>
  </r>
  <r>
    <x v="329"/>
    <x v="5"/>
    <x v="1"/>
    <x v="1"/>
    <x v="0"/>
    <x v="30"/>
    <x v="3"/>
    <x v="323"/>
    <s v="Low"/>
    <x v="4"/>
    <s v="Medium Stay"/>
    <x v="16"/>
    <x v="0"/>
  </r>
  <r>
    <x v="330"/>
    <x v="0"/>
    <x v="3"/>
    <x v="6"/>
    <x v="1"/>
    <x v="81"/>
    <x v="0"/>
    <x v="324"/>
    <s v="Low"/>
    <x v="3"/>
    <s v="Short Stay"/>
    <x v="40"/>
    <x v="1"/>
  </r>
  <r>
    <x v="331"/>
    <x v="3"/>
    <x v="0"/>
    <x v="6"/>
    <x v="0"/>
    <x v="37"/>
    <x v="2"/>
    <x v="325"/>
    <s v="Medium"/>
    <x v="1"/>
    <s v="Long Stay"/>
    <x v="11"/>
    <x v="1"/>
  </r>
  <r>
    <x v="332"/>
    <x v="3"/>
    <x v="2"/>
    <x v="3"/>
    <x v="1"/>
    <x v="16"/>
    <x v="2"/>
    <x v="326"/>
    <s v="Low"/>
    <x v="0"/>
    <s v="Long Stay"/>
    <x v="35"/>
    <x v="1"/>
  </r>
  <r>
    <x v="333"/>
    <x v="5"/>
    <x v="2"/>
    <x v="2"/>
    <x v="0"/>
    <x v="15"/>
    <x v="4"/>
    <x v="327"/>
    <s v="Low"/>
    <x v="5"/>
    <s v="Long Stay"/>
    <x v="37"/>
    <x v="0"/>
  </r>
  <r>
    <x v="334"/>
    <x v="6"/>
    <x v="2"/>
    <x v="9"/>
    <x v="1"/>
    <x v="23"/>
    <x v="4"/>
    <x v="328"/>
    <s v="Low"/>
    <x v="7"/>
    <s v="Medium Stay"/>
    <x v="0"/>
    <x v="0"/>
  </r>
  <r>
    <x v="335"/>
    <x v="3"/>
    <x v="0"/>
    <x v="3"/>
    <x v="0"/>
    <x v="87"/>
    <x v="2"/>
    <x v="329"/>
    <s v="Medium"/>
    <x v="12"/>
    <s v="Extended Stay"/>
    <x v="42"/>
    <x v="1"/>
  </r>
  <r>
    <x v="336"/>
    <x v="3"/>
    <x v="3"/>
    <x v="4"/>
    <x v="1"/>
    <x v="69"/>
    <x v="2"/>
    <x v="330"/>
    <s v="Low"/>
    <x v="8"/>
    <s v="Medium Stay"/>
    <x v="14"/>
    <x v="1"/>
  </r>
  <r>
    <x v="337"/>
    <x v="0"/>
    <x v="2"/>
    <x v="3"/>
    <x v="0"/>
    <x v="77"/>
    <x v="2"/>
    <x v="331"/>
    <s v="Low"/>
    <x v="5"/>
    <s v="Long Stay"/>
    <x v="23"/>
    <x v="1"/>
  </r>
  <r>
    <x v="338"/>
    <x v="3"/>
    <x v="2"/>
    <x v="7"/>
    <x v="1"/>
    <x v="83"/>
    <x v="2"/>
    <x v="332"/>
    <s v="Low"/>
    <x v="8"/>
    <s v="Medium Stay"/>
    <x v="5"/>
    <x v="1"/>
  </r>
  <r>
    <x v="339"/>
    <x v="0"/>
    <x v="0"/>
    <x v="2"/>
    <x v="1"/>
    <x v="30"/>
    <x v="3"/>
    <x v="333"/>
    <s v="Medium"/>
    <x v="9"/>
    <s v="Extended Stay"/>
    <x v="19"/>
    <x v="1"/>
  </r>
  <r>
    <x v="340"/>
    <x v="6"/>
    <x v="0"/>
    <x v="8"/>
    <x v="1"/>
    <x v="6"/>
    <x v="2"/>
    <x v="334"/>
    <s v="Low"/>
    <x v="10"/>
    <s v="Long Stay"/>
    <x v="28"/>
    <x v="0"/>
  </r>
  <r>
    <x v="341"/>
    <x v="3"/>
    <x v="0"/>
    <x v="9"/>
    <x v="0"/>
    <x v="36"/>
    <x v="4"/>
    <x v="335"/>
    <s v="Low"/>
    <x v="13"/>
    <s v="Extended Stay"/>
    <x v="17"/>
    <x v="0"/>
  </r>
  <r>
    <x v="342"/>
    <x v="0"/>
    <x v="1"/>
    <x v="6"/>
    <x v="1"/>
    <x v="16"/>
    <x v="2"/>
    <x v="336"/>
    <s v="Low"/>
    <x v="6"/>
    <s v="Short Stay"/>
    <x v="18"/>
    <x v="1"/>
  </r>
  <r>
    <x v="343"/>
    <x v="1"/>
    <x v="2"/>
    <x v="2"/>
    <x v="0"/>
    <x v="52"/>
    <x v="1"/>
    <x v="337"/>
    <s v="Low"/>
    <x v="1"/>
    <s v="Long Stay"/>
    <x v="39"/>
    <x v="1"/>
  </r>
  <r>
    <x v="344"/>
    <x v="1"/>
    <x v="0"/>
    <x v="2"/>
    <x v="1"/>
    <x v="39"/>
    <x v="5"/>
    <x v="338"/>
    <s v="Medium"/>
    <x v="2"/>
    <s v="Extended Stay"/>
    <x v="27"/>
    <x v="1"/>
  </r>
  <r>
    <x v="345"/>
    <x v="6"/>
    <x v="2"/>
    <x v="3"/>
    <x v="0"/>
    <x v="47"/>
    <x v="3"/>
    <x v="339"/>
    <s v="Low"/>
    <x v="1"/>
    <s v="Long Stay"/>
    <x v="23"/>
    <x v="1"/>
  </r>
  <r>
    <x v="346"/>
    <x v="2"/>
    <x v="3"/>
    <x v="9"/>
    <x v="1"/>
    <x v="47"/>
    <x v="3"/>
    <x v="340"/>
    <s v="Low"/>
    <x v="3"/>
    <s v="Short Stay"/>
    <x v="11"/>
    <x v="1"/>
  </r>
  <r>
    <x v="347"/>
    <x v="4"/>
    <x v="1"/>
    <x v="2"/>
    <x v="1"/>
    <x v="10"/>
    <x v="2"/>
    <x v="49"/>
    <s v="Low"/>
    <x v="4"/>
    <s v="Medium Stay"/>
    <x v="9"/>
    <x v="1"/>
  </r>
  <r>
    <x v="348"/>
    <x v="1"/>
    <x v="1"/>
    <x v="8"/>
    <x v="0"/>
    <x v="81"/>
    <x v="0"/>
    <x v="341"/>
    <s v="Low"/>
    <x v="3"/>
    <s v="Short Stay"/>
    <x v="41"/>
    <x v="1"/>
  </r>
  <r>
    <x v="349"/>
    <x v="1"/>
    <x v="3"/>
    <x v="9"/>
    <x v="0"/>
    <x v="19"/>
    <x v="2"/>
    <x v="342"/>
    <s v="Low"/>
    <x v="4"/>
    <s v="Medium Stay"/>
    <x v="32"/>
    <x v="1"/>
  </r>
  <r>
    <x v="350"/>
    <x v="1"/>
    <x v="2"/>
    <x v="2"/>
    <x v="0"/>
    <x v="11"/>
    <x v="1"/>
    <x v="343"/>
    <s v="Low"/>
    <x v="0"/>
    <s v="Long Stay"/>
    <x v="38"/>
    <x v="1"/>
  </r>
  <r>
    <x v="351"/>
    <x v="3"/>
    <x v="3"/>
    <x v="8"/>
    <x v="0"/>
    <x v="55"/>
    <x v="0"/>
    <x v="344"/>
    <s v="Low"/>
    <x v="7"/>
    <s v="Medium Stay"/>
    <x v="22"/>
    <x v="1"/>
  </r>
  <r>
    <x v="352"/>
    <x v="2"/>
    <x v="1"/>
    <x v="2"/>
    <x v="1"/>
    <x v="51"/>
    <x v="6"/>
    <x v="345"/>
    <s v="Low"/>
    <x v="4"/>
    <s v="Medium Stay"/>
    <x v="16"/>
    <x v="0"/>
  </r>
  <r>
    <x v="353"/>
    <x v="1"/>
    <x v="2"/>
    <x v="0"/>
    <x v="1"/>
    <x v="21"/>
    <x v="0"/>
    <x v="346"/>
    <s v="Low"/>
    <x v="0"/>
    <s v="Long Stay"/>
    <x v="20"/>
    <x v="1"/>
  </r>
  <r>
    <x v="354"/>
    <x v="6"/>
    <x v="1"/>
    <x v="4"/>
    <x v="1"/>
    <x v="74"/>
    <x v="0"/>
    <x v="347"/>
    <s v="Low"/>
    <x v="6"/>
    <s v="Short Stay"/>
    <x v="12"/>
    <x v="1"/>
  </r>
  <r>
    <x v="355"/>
    <x v="3"/>
    <x v="2"/>
    <x v="2"/>
    <x v="0"/>
    <x v="50"/>
    <x v="4"/>
    <x v="348"/>
    <s v="Low"/>
    <x v="1"/>
    <s v="Long Stay"/>
    <x v="46"/>
    <x v="1"/>
  </r>
  <r>
    <x v="356"/>
    <x v="6"/>
    <x v="2"/>
    <x v="9"/>
    <x v="0"/>
    <x v="47"/>
    <x v="3"/>
    <x v="349"/>
    <s v="Low"/>
    <x v="8"/>
    <s v="Medium Stay"/>
    <x v="4"/>
    <x v="1"/>
  </r>
  <r>
    <x v="357"/>
    <x v="0"/>
    <x v="3"/>
    <x v="8"/>
    <x v="1"/>
    <x v="56"/>
    <x v="6"/>
    <x v="350"/>
    <s v="Low"/>
    <x v="3"/>
    <s v="Short Stay"/>
    <x v="35"/>
    <x v="1"/>
  </r>
  <r>
    <x v="358"/>
    <x v="4"/>
    <x v="2"/>
    <x v="3"/>
    <x v="1"/>
    <x v="80"/>
    <x v="3"/>
    <x v="351"/>
    <s v="Low"/>
    <x v="1"/>
    <s v="Long Stay"/>
    <x v="36"/>
    <x v="1"/>
  </r>
  <r>
    <x v="359"/>
    <x v="2"/>
    <x v="1"/>
    <x v="5"/>
    <x v="1"/>
    <x v="49"/>
    <x v="4"/>
    <x v="352"/>
    <s v="Low"/>
    <x v="3"/>
    <s v="Short Stay"/>
    <x v="20"/>
    <x v="1"/>
  </r>
  <r>
    <x v="360"/>
    <x v="2"/>
    <x v="2"/>
    <x v="8"/>
    <x v="1"/>
    <x v="23"/>
    <x v="4"/>
    <x v="353"/>
    <s v="Low"/>
    <x v="4"/>
    <s v="Medium Stay"/>
    <x v="16"/>
    <x v="0"/>
  </r>
  <r>
    <x v="361"/>
    <x v="2"/>
    <x v="3"/>
    <x v="1"/>
    <x v="0"/>
    <x v="63"/>
    <x v="2"/>
    <x v="354"/>
    <s v="Low"/>
    <x v="6"/>
    <s v="Short Stay"/>
    <x v="29"/>
    <x v="1"/>
  </r>
  <r>
    <x v="362"/>
    <x v="5"/>
    <x v="2"/>
    <x v="3"/>
    <x v="0"/>
    <x v="18"/>
    <x v="3"/>
    <x v="355"/>
    <s v="Low"/>
    <x v="1"/>
    <s v="Long Stay"/>
    <x v="10"/>
    <x v="1"/>
  </r>
  <r>
    <x v="363"/>
    <x v="4"/>
    <x v="2"/>
    <x v="6"/>
    <x v="0"/>
    <x v="8"/>
    <x v="4"/>
    <x v="264"/>
    <s v="Low"/>
    <x v="7"/>
    <s v="Medium Stay"/>
    <x v="16"/>
    <x v="0"/>
  </r>
  <r>
    <x v="364"/>
    <x v="0"/>
    <x v="1"/>
    <x v="1"/>
    <x v="0"/>
    <x v="38"/>
    <x v="4"/>
    <x v="356"/>
    <s v="Low"/>
    <x v="3"/>
    <s v="Short Stay"/>
    <x v="35"/>
    <x v="1"/>
  </r>
  <r>
    <x v="365"/>
    <x v="1"/>
    <x v="1"/>
    <x v="4"/>
    <x v="0"/>
    <x v="54"/>
    <x v="4"/>
    <x v="357"/>
    <s v="Low"/>
    <x v="6"/>
    <s v="Short Stay"/>
    <x v="36"/>
    <x v="1"/>
  </r>
  <r>
    <x v="366"/>
    <x v="5"/>
    <x v="1"/>
    <x v="1"/>
    <x v="1"/>
    <x v="59"/>
    <x v="0"/>
    <x v="358"/>
    <s v="Low"/>
    <x v="4"/>
    <s v="Medium Stay"/>
    <x v="49"/>
    <x v="1"/>
  </r>
  <r>
    <x v="367"/>
    <x v="4"/>
    <x v="2"/>
    <x v="7"/>
    <x v="0"/>
    <x v="12"/>
    <x v="0"/>
    <x v="359"/>
    <s v="Low"/>
    <x v="5"/>
    <s v="Long Stay"/>
    <x v="6"/>
    <x v="1"/>
  </r>
  <r>
    <x v="368"/>
    <x v="6"/>
    <x v="3"/>
    <x v="4"/>
    <x v="1"/>
    <x v="75"/>
    <x v="4"/>
    <x v="360"/>
    <s v="Low"/>
    <x v="3"/>
    <s v="Short Stay"/>
    <x v="6"/>
    <x v="1"/>
  </r>
  <r>
    <x v="369"/>
    <x v="3"/>
    <x v="3"/>
    <x v="2"/>
    <x v="1"/>
    <x v="15"/>
    <x v="4"/>
    <x v="361"/>
    <s v="Low"/>
    <x v="8"/>
    <s v="Medium Stay"/>
    <x v="42"/>
    <x v="1"/>
  </r>
  <r>
    <x v="370"/>
    <x v="6"/>
    <x v="0"/>
    <x v="8"/>
    <x v="0"/>
    <x v="51"/>
    <x v="6"/>
    <x v="362"/>
    <s v="Medium"/>
    <x v="5"/>
    <s v="Long Stay"/>
    <x v="22"/>
    <x v="1"/>
  </r>
  <r>
    <x v="371"/>
    <x v="5"/>
    <x v="3"/>
    <x v="8"/>
    <x v="0"/>
    <x v="30"/>
    <x v="3"/>
    <x v="363"/>
    <s v="Low"/>
    <x v="7"/>
    <s v="Medium Stay"/>
    <x v="43"/>
    <x v="1"/>
  </r>
  <r>
    <x v="372"/>
    <x v="2"/>
    <x v="1"/>
    <x v="2"/>
    <x v="0"/>
    <x v="19"/>
    <x v="2"/>
    <x v="364"/>
    <s v="Low"/>
    <x v="4"/>
    <s v="Medium Stay"/>
    <x v="32"/>
    <x v="1"/>
  </r>
  <r>
    <x v="373"/>
    <x v="6"/>
    <x v="2"/>
    <x v="2"/>
    <x v="0"/>
    <x v="47"/>
    <x v="3"/>
    <x v="365"/>
    <s v="Low"/>
    <x v="7"/>
    <s v="Medium Stay"/>
    <x v="25"/>
    <x v="0"/>
  </r>
  <r>
    <x v="374"/>
    <x v="0"/>
    <x v="2"/>
    <x v="7"/>
    <x v="0"/>
    <x v="5"/>
    <x v="3"/>
    <x v="366"/>
    <s v="Low"/>
    <x v="1"/>
    <s v="Long Stay"/>
    <x v="37"/>
    <x v="0"/>
  </r>
  <r>
    <x v="375"/>
    <x v="5"/>
    <x v="1"/>
    <x v="5"/>
    <x v="1"/>
    <x v="41"/>
    <x v="0"/>
    <x v="367"/>
    <s v="Low"/>
    <x v="4"/>
    <s v="Medium Stay"/>
    <x v="0"/>
    <x v="0"/>
  </r>
  <r>
    <x v="376"/>
    <x v="2"/>
    <x v="3"/>
    <x v="6"/>
    <x v="1"/>
    <x v="15"/>
    <x v="4"/>
    <x v="368"/>
    <s v="Low"/>
    <x v="6"/>
    <s v="Short Stay"/>
    <x v="8"/>
    <x v="1"/>
  </r>
  <r>
    <x v="377"/>
    <x v="1"/>
    <x v="1"/>
    <x v="5"/>
    <x v="1"/>
    <x v="47"/>
    <x v="3"/>
    <x v="369"/>
    <s v="Low"/>
    <x v="4"/>
    <s v="Medium Stay"/>
    <x v="44"/>
    <x v="1"/>
  </r>
  <r>
    <x v="378"/>
    <x v="5"/>
    <x v="2"/>
    <x v="4"/>
    <x v="1"/>
    <x v="71"/>
    <x v="5"/>
    <x v="370"/>
    <s v="Low"/>
    <x v="5"/>
    <s v="Long Stay"/>
    <x v="8"/>
    <x v="1"/>
  </r>
  <r>
    <x v="379"/>
    <x v="4"/>
    <x v="0"/>
    <x v="6"/>
    <x v="0"/>
    <x v="20"/>
    <x v="4"/>
    <x v="371"/>
    <s v="Medium"/>
    <x v="10"/>
    <s v="Long Stay"/>
    <x v="35"/>
    <x v="1"/>
  </r>
  <r>
    <x v="380"/>
    <x v="1"/>
    <x v="0"/>
    <x v="0"/>
    <x v="0"/>
    <x v="86"/>
    <x v="2"/>
    <x v="372"/>
    <s v="Low"/>
    <x v="9"/>
    <s v="Extended Stay"/>
    <x v="9"/>
    <x v="1"/>
  </r>
  <r>
    <x v="381"/>
    <x v="0"/>
    <x v="3"/>
    <x v="2"/>
    <x v="1"/>
    <x v="14"/>
    <x v="5"/>
    <x v="373"/>
    <s v="Low"/>
    <x v="7"/>
    <s v="Medium Stay"/>
    <x v="13"/>
    <x v="1"/>
  </r>
  <r>
    <x v="382"/>
    <x v="4"/>
    <x v="3"/>
    <x v="8"/>
    <x v="0"/>
    <x v="82"/>
    <x v="5"/>
    <x v="374"/>
    <s v="Low"/>
    <x v="8"/>
    <s v="Medium Stay"/>
    <x v="38"/>
    <x v="1"/>
  </r>
  <r>
    <x v="383"/>
    <x v="0"/>
    <x v="3"/>
    <x v="6"/>
    <x v="0"/>
    <x v="48"/>
    <x v="4"/>
    <x v="375"/>
    <s v="Low"/>
    <x v="6"/>
    <s v="Short Stay"/>
    <x v="40"/>
    <x v="1"/>
  </r>
  <r>
    <x v="384"/>
    <x v="5"/>
    <x v="0"/>
    <x v="1"/>
    <x v="1"/>
    <x v="16"/>
    <x v="2"/>
    <x v="376"/>
    <s v="Low"/>
    <x v="11"/>
    <s v="Long Stay"/>
    <x v="34"/>
    <x v="1"/>
  </r>
  <r>
    <x v="385"/>
    <x v="3"/>
    <x v="1"/>
    <x v="5"/>
    <x v="1"/>
    <x v="77"/>
    <x v="2"/>
    <x v="377"/>
    <s v="Low"/>
    <x v="4"/>
    <s v="Medium Stay"/>
    <x v="34"/>
    <x v="1"/>
  </r>
  <r>
    <x v="386"/>
    <x v="2"/>
    <x v="1"/>
    <x v="1"/>
    <x v="1"/>
    <x v="53"/>
    <x v="6"/>
    <x v="378"/>
    <s v="Low"/>
    <x v="6"/>
    <s v="Short Stay"/>
    <x v="23"/>
    <x v="1"/>
  </r>
  <r>
    <x v="387"/>
    <x v="2"/>
    <x v="3"/>
    <x v="3"/>
    <x v="0"/>
    <x v="58"/>
    <x v="2"/>
    <x v="64"/>
    <s v="Low"/>
    <x v="6"/>
    <s v="Short Stay"/>
    <x v="34"/>
    <x v="1"/>
  </r>
  <r>
    <x v="388"/>
    <x v="1"/>
    <x v="3"/>
    <x v="3"/>
    <x v="1"/>
    <x v="36"/>
    <x v="4"/>
    <x v="379"/>
    <s v="Low"/>
    <x v="7"/>
    <s v="Medium Stay"/>
    <x v="4"/>
    <x v="1"/>
  </r>
  <r>
    <x v="389"/>
    <x v="4"/>
    <x v="3"/>
    <x v="1"/>
    <x v="1"/>
    <x v="82"/>
    <x v="5"/>
    <x v="380"/>
    <s v="Low"/>
    <x v="7"/>
    <s v="Medium Stay"/>
    <x v="3"/>
    <x v="0"/>
  </r>
  <r>
    <x v="390"/>
    <x v="0"/>
    <x v="3"/>
    <x v="2"/>
    <x v="1"/>
    <x v="33"/>
    <x v="0"/>
    <x v="381"/>
    <s v="Low"/>
    <x v="6"/>
    <s v="Short Stay"/>
    <x v="34"/>
    <x v="1"/>
  </r>
  <r>
    <x v="391"/>
    <x v="6"/>
    <x v="1"/>
    <x v="1"/>
    <x v="1"/>
    <x v="49"/>
    <x v="4"/>
    <x v="49"/>
    <s v="Low"/>
    <x v="6"/>
    <s v="Short Stay"/>
    <x v="29"/>
    <x v="1"/>
  </r>
  <r>
    <x v="392"/>
    <x v="3"/>
    <x v="1"/>
    <x v="2"/>
    <x v="0"/>
    <x v="73"/>
    <x v="2"/>
    <x v="382"/>
    <s v="Low"/>
    <x v="4"/>
    <s v="Medium Stay"/>
    <x v="12"/>
    <x v="1"/>
  </r>
  <r>
    <x v="393"/>
    <x v="4"/>
    <x v="1"/>
    <x v="6"/>
    <x v="1"/>
    <x v="69"/>
    <x v="2"/>
    <x v="383"/>
    <s v="Low"/>
    <x v="3"/>
    <s v="Short Stay"/>
    <x v="42"/>
    <x v="1"/>
  </r>
  <r>
    <x v="394"/>
    <x v="1"/>
    <x v="2"/>
    <x v="9"/>
    <x v="0"/>
    <x v="9"/>
    <x v="5"/>
    <x v="384"/>
    <s v="Low"/>
    <x v="5"/>
    <s v="Long Stay"/>
    <x v="14"/>
    <x v="1"/>
  </r>
  <r>
    <x v="395"/>
    <x v="2"/>
    <x v="0"/>
    <x v="1"/>
    <x v="1"/>
    <x v="83"/>
    <x v="2"/>
    <x v="385"/>
    <s v="Medium"/>
    <x v="11"/>
    <s v="Long Stay"/>
    <x v="5"/>
    <x v="1"/>
  </r>
  <r>
    <x v="396"/>
    <x v="6"/>
    <x v="0"/>
    <x v="6"/>
    <x v="0"/>
    <x v="24"/>
    <x v="4"/>
    <x v="386"/>
    <s v="Low"/>
    <x v="9"/>
    <s v="Extended Stay"/>
    <x v="37"/>
    <x v="0"/>
  </r>
  <r>
    <x v="397"/>
    <x v="3"/>
    <x v="2"/>
    <x v="0"/>
    <x v="1"/>
    <x v="72"/>
    <x v="4"/>
    <x v="387"/>
    <s v="Low"/>
    <x v="5"/>
    <s v="Long Stay"/>
    <x v="45"/>
    <x v="1"/>
  </r>
  <r>
    <x v="398"/>
    <x v="6"/>
    <x v="3"/>
    <x v="9"/>
    <x v="0"/>
    <x v="58"/>
    <x v="2"/>
    <x v="388"/>
    <s v="Low"/>
    <x v="7"/>
    <s v="Medium Stay"/>
    <x v="17"/>
    <x v="0"/>
  </r>
  <r>
    <x v="399"/>
    <x v="4"/>
    <x v="3"/>
    <x v="1"/>
    <x v="1"/>
    <x v="71"/>
    <x v="5"/>
    <x v="389"/>
    <s v="Low"/>
    <x v="3"/>
    <s v="Short Stay"/>
    <x v="6"/>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F388B33-F8E3-4F15-AF7A-966D5A473564}" name="PivotTable2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3:B81" firstHeaderRow="1" firstDataRow="1" firstDataCol="1"/>
  <pivotFields count="13">
    <pivotField showAll="0"/>
    <pivotField showAll="0">
      <items count="8">
        <item x="1"/>
        <item x="0"/>
        <item x="6"/>
        <item x="5"/>
        <item x="2"/>
        <item x="3"/>
        <item x="4"/>
        <item t="default"/>
      </items>
    </pivotField>
    <pivotField showAll="0">
      <items count="5">
        <item x="3"/>
        <item x="1"/>
        <item x="0"/>
        <item x="2"/>
        <item t="default"/>
      </items>
    </pivotField>
    <pivotField showAll="0">
      <items count="11">
        <item x="9"/>
        <item x="6"/>
        <item x="4"/>
        <item x="5"/>
        <item x="3"/>
        <item x="1"/>
        <item x="8"/>
        <item x="2"/>
        <item x="0"/>
        <item x="7"/>
        <item t="default"/>
      </items>
    </pivotField>
    <pivotField showAll="0">
      <items count="4">
        <item x="0"/>
        <item x="1"/>
        <item x="2"/>
        <item t="default"/>
      </items>
    </pivotField>
    <pivotField numFmtId="1" showAll="0">
      <items count="89">
        <item x="3"/>
        <item x="62"/>
        <item x="52"/>
        <item x="1"/>
        <item x="11"/>
        <item x="5"/>
        <item x="70"/>
        <item x="28"/>
        <item x="18"/>
        <item x="30"/>
        <item x="47"/>
        <item x="80"/>
        <item x="65"/>
        <item x="56"/>
        <item x="53"/>
        <item x="64"/>
        <item x="35"/>
        <item x="51"/>
        <item x="68"/>
        <item x="14"/>
        <item x="9"/>
        <item x="66"/>
        <item x="82"/>
        <item x="39"/>
        <item x="84"/>
        <item x="71"/>
        <item x="22"/>
        <item x="13"/>
        <item x="21"/>
        <item x="26"/>
        <item x="0"/>
        <item x="34"/>
        <item x="41"/>
        <item x="74"/>
        <item x="33"/>
        <item x="7"/>
        <item x="55"/>
        <item x="85"/>
        <item x="12"/>
        <item x="59"/>
        <item x="81"/>
        <item x="4"/>
        <item x="72"/>
        <item x="49"/>
        <item x="8"/>
        <item x="36"/>
        <item x="54"/>
        <item x="48"/>
        <item x="75"/>
        <item x="44"/>
        <item x="23"/>
        <item x="43"/>
        <item x="24"/>
        <item x="50"/>
        <item x="31"/>
        <item x="20"/>
        <item x="38"/>
        <item x="15"/>
        <item x="67"/>
        <item x="61"/>
        <item x="77"/>
        <item x="73"/>
        <item x="17"/>
        <item x="40"/>
        <item x="57"/>
        <item x="79"/>
        <item x="16"/>
        <item x="83"/>
        <item x="25"/>
        <item x="27"/>
        <item x="69"/>
        <item x="46"/>
        <item x="87"/>
        <item x="58"/>
        <item x="60"/>
        <item x="45"/>
        <item x="78"/>
        <item x="29"/>
        <item x="6"/>
        <item x="10"/>
        <item x="86"/>
        <item x="2"/>
        <item x="32"/>
        <item x="42"/>
        <item x="76"/>
        <item x="63"/>
        <item x="19"/>
        <item x="37"/>
        <item t="default"/>
      </items>
    </pivotField>
    <pivotField axis="axisRow" showAll="0">
      <items count="8">
        <item x="0"/>
        <item x="3"/>
        <item x="2"/>
        <item x="1"/>
        <item x="4"/>
        <item x="6"/>
        <item x="5"/>
        <item t="default"/>
      </items>
    </pivotField>
    <pivotField showAll="0"/>
    <pivotField showAll="0"/>
    <pivotField dataField="1" numFmtId="1" showAll="0"/>
    <pivotField showAll="0"/>
    <pivotField showAll="0"/>
    <pivotField showAll="0"/>
  </pivotFields>
  <rowFields count="1">
    <field x="6"/>
  </rowFields>
  <rowItems count="8">
    <i>
      <x/>
    </i>
    <i>
      <x v="1"/>
    </i>
    <i>
      <x v="2"/>
    </i>
    <i>
      <x v="3"/>
    </i>
    <i>
      <x v="4"/>
    </i>
    <i>
      <x v="5"/>
    </i>
    <i>
      <x v="6"/>
    </i>
    <i t="grand">
      <x/>
    </i>
  </rowItems>
  <colItems count="1">
    <i/>
  </colItems>
  <dataFields count="1">
    <dataField name="Sum of Hospital Stay (Days)" fld="9"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5E2E530-F417-416E-902E-7E0B65536DE6}" name="PivotTable4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9:B107" firstHeaderRow="1" firstDataRow="1" firstDataCol="1"/>
  <pivotFields count="13">
    <pivotField showAll="0"/>
    <pivotField axis="axisRow" showAll="0">
      <items count="8">
        <item x="1"/>
        <item x="0"/>
        <item x="6"/>
        <item x="5"/>
        <item x="2"/>
        <item x="3"/>
        <item x="4"/>
        <item t="default"/>
      </items>
    </pivotField>
    <pivotField showAll="0">
      <items count="5">
        <item x="3"/>
        <item x="1"/>
        <item x="0"/>
        <item x="2"/>
        <item t="default"/>
      </items>
    </pivotField>
    <pivotField showAll="0">
      <items count="11">
        <item x="9"/>
        <item x="6"/>
        <item x="4"/>
        <item x="5"/>
        <item x="3"/>
        <item x="1"/>
        <item x="8"/>
        <item x="2"/>
        <item x="0"/>
        <item x="7"/>
        <item t="default"/>
      </items>
    </pivotField>
    <pivotField showAll="0">
      <items count="4">
        <item x="0"/>
        <item x="1"/>
        <item x="2"/>
        <item t="default"/>
      </items>
    </pivotField>
    <pivotField numFmtId="1" showAll="0"/>
    <pivotField showAll="0"/>
    <pivotField dataField="1" showAll="0"/>
    <pivotField showAll="0"/>
    <pivotField numFmtId="1" showAll="0"/>
    <pivotField showAll="0"/>
    <pivotField showAll="0"/>
    <pivotField showAll="0"/>
  </pivotFields>
  <rowFields count="1">
    <field x="1"/>
  </rowFields>
  <rowItems count="8">
    <i>
      <x/>
    </i>
    <i>
      <x v="1"/>
    </i>
    <i>
      <x v="2"/>
    </i>
    <i>
      <x v="3"/>
    </i>
    <i>
      <x v="4"/>
    </i>
    <i>
      <x v="5"/>
    </i>
    <i>
      <x v="6"/>
    </i>
    <i t="grand">
      <x/>
    </i>
  </rowItems>
  <colItems count="1">
    <i/>
  </colItems>
  <dataFields count="1">
    <dataField name="Sum of Treatment Cost"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75EFB55-0604-4090-9801-3FE13E1843DC}"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2:B53" firstHeaderRow="1" firstDataRow="1" firstDataCol="1"/>
  <pivotFields count="13">
    <pivotField showAll="0"/>
    <pivotField showAll="0">
      <items count="8">
        <item x="1"/>
        <item x="0"/>
        <item x="6"/>
        <item x="5"/>
        <item x="2"/>
        <item x="3"/>
        <item x="4"/>
        <item t="default"/>
      </items>
    </pivotField>
    <pivotField showAll="0">
      <items count="5">
        <item x="3"/>
        <item x="1"/>
        <item x="0"/>
        <item x="2"/>
        <item t="default"/>
      </items>
    </pivotField>
    <pivotField axis="axisRow" showAll="0">
      <items count="11">
        <item x="9"/>
        <item x="6"/>
        <item x="4"/>
        <item x="5"/>
        <item x="3"/>
        <item x="1"/>
        <item x="8"/>
        <item x="2"/>
        <item x="0"/>
        <item x="7"/>
        <item t="default"/>
      </items>
    </pivotField>
    <pivotField showAll="0">
      <items count="4">
        <item x="0"/>
        <item x="1"/>
        <item x="2"/>
        <item t="default"/>
      </items>
    </pivotField>
    <pivotField numFmtId="1" showAll="0"/>
    <pivotField showAll="0"/>
    <pivotField showAll="0"/>
    <pivotField showAll="0"/>
    <pivotField numFmtId="1" showAll="0"/>
    <pivotField showAll="0"/>
    <pivotField dataField="1" showAll="0"/>
    <pivotField showAll="0"/>
  </pivotFields>
  <rowFields count="1">
    <field x="3"/>
  </rowFields>
  <rowItems count="11">
    <i>
      <x/>
    </i>
    <i>
      <x v="1"/>
    </i>
    <i>
      <x v="2"/>
    </i>
    <i>
      <x v="3"/>
    </i>
    <i>
      <x v="4"/>
    </i>
    <i>
      <x v="5"/>
    </i>
    <i>
      <x v="6"/>
    </i>
    <i>
      <x v="7"/>
    </i>
    <i>
      <x v="8"/>
    </i>
    <i>
      <x v="9"/>
    </i>
    <i t="grand">
      <x/>
    </i>
  </rowItems>
  <colItems count="1">
    <i/>
  </colItems>
  <dataFields count="1">
    <dataField name="Sum of Recovery Score"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33508B0-1C11-489F-9E4C-D8916AD2F41C}" name="PivotTable2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8:B69" firstHeaderRow="1" firstDataRow="1" firstDataCol="1"/>
  <pivotFields count="13">
    <pivotField dataField="1" showAll="0"/>
    <pivotField showAll="0">
      <items count="8">
        <item x="1"/>
        <item x="0"/>
        <item x="6"/>
        <item x="5"/>
        <item x="2"/>
        <item x="3"/>
        <item x="4"/>
        <item t="default"/>
      </items>
    </pivotField>
    <pivotField showAll="0">
      <items count="5">
        <item x="3"/>
        <item x="1"/>
        <item x="0"/>
        <item x="2"/>
        <item t="default"/>
      </items>
    </pivotField>
    <pivotField axis="axisRow" showAll="0">
      <items count="11">
        <item x="9"/>
        <item x="6"/>
        <item x="4"/>
        <item x="5"/>
        <item x="3"/>
        <item x="1"/>
        <item x="8"/>
        <item x="2"/>
        <item x="0"/>
        <item x="7"/>
        <item t="default"/>
      </items>
    </pivotField>
    <pivotField showAll="0">
      <items count="4">
        <item x="0"/>
        <item x="1"/>
        <item x="2"/>
        <item t="default"/>
      </items>
    </pivotField>
    <pivotField numFmtId="1" showAll="0"/>
    <pivotField showAll="0"/>
    <pivotField showAll="0"/>
    <pivotField showAll="0"/>
    <pivotField numFmtId="1" showAll="0"/>
    <pivotField showAll="0"/>
    <pivotField showAll="0"/>
    <pivotField showAll="0"/>
  </pivotFields>
  <rowFields count="1">
    <field x="3"/>
  </rowFields>
  <rowItems count="11">
    <i>
      <x/>
    </i>
    <i>
      <x v="1"/>
    </i>
    <i>
      <x v="2"/>
    </i>
    <i>
      <x v="3"/>
    </i>
    <i>
      <x v="4"/>
    </i>
    <i>
      <x v="5"/>
    </i>
    <i>
      <x v="6"/>
    </i>
    <i>
      <x v="7"/>
    </i>
    <i>
      <x v="8"/>
    </i>
    <i>
      <x v="9"/>
    </i>
    <i t="grand">
      <x/>
    </i>
  </rowItems>
  <colItems count="1">
    <i/>
  </colItems>
  <dataFields count="1">
    <dataField name="Count of Patient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1115DDC-85BF-46B7-BE8F-C9F4679D0ADD}" name="PivotTable2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6:B94" firstHeaderRow="1" firstDataRow="1" firstDataCol="1"/>
  <pivotFields count="13">
    <pivotField showAll="0"/>
    <pivotField showAll="0">
      <items count="8">
        <item x="1"/>
        <item x="0"/>
        <item x="6"/>
        <item x="5"/>
        <item x="2"/>
        <item x="3"/>
        <item x="4"/>
        <item t="default"/>
      </items>
    </pivotField>
    <pivotField showAll="0">
      <items count="5">
        <item x="3"/>
        <item x="1"/>
        <item x="0"/>
        <item x="2"/>
        <item t="default"/>
      </items>
    </pivotField>
    <pivotField showAll="0">
      <items count="11">
        <item x="9"/>
        <item x="6"/>
        <item x="4"/>
        <item x="5"/>
        <item x="3"/>
        <item x="1"/>
        <item x="8"/>
        <item x="2"/>
        <item x="0"/>
        <item x="7"/>
        <item t="default"/>
      </items>
    </pivotField>
    <pivotField showAll="0">
      <items count="4">
        <item x="0"/>
        <item x="1"/>
        <item x="2"/>
        <item t="default"/>
      </items>
    </pivotField>
    <pivotField numFmtId="1" showAll="0">
      <items count="89">
        <item x="3"/>
        <item x="62"/>
        <item x="52"/>
        <item x="1"/>
        <item x="11"/>
        <item x="5"/>
        <item x="70"/>
        <item x="28"/>
        <item x="18"/>
        <item x="30"/>
        <item x="47"/>
        <item x="80"/>
        <item x="65"/>
        <item x="56"/>
        <item x="53"/>
        <item x="64"/>
        <item x="35"/>
        <item x="51"/>
        <item x="68"/>
        <item x="14"/>
        <item x="9"/>
        <item x="66"/>
        <item x="82"/>
        <item x="39"/>
        <item x="84"/>
        <item x="71"/>
        <item x="22"/>
        <item x="13"/>
        <item x="21"/>
        <item x="26"/>
        <item x="0"/>
        <item x="34"/>
        <item x="41"/>
        <item x="74"/>
        <item x="33"/>
        <item x="7"/>
        <item x="55"/>
        <item x="85"/>
        <item x="12"/>
        <item x="59"/>
        <item x="81"/>
        <item x="4"/>
        <item x="72"/>
        <item x="49"/>
        <item x="8"/>
        <item x="36"/>
        <item x="54"/>
        <item x="48"/>
        <item x="75"/>
        <item x="44"/>
        <item x="23"/>
        <item x="43"/>
        <item x="24"/>
        <item x="50"/>
        <item x="31"/>
        <item x="20"/>
        <item x="38"/>
        <item x="15"/>
        <item x="67"/>
        <item x="61"/>
        <item x="77"/>
        <item x="73"/>
        <item x="17"/>
        <item x="40"/>
        <item x="57"/>
        <item x="79"/>
        <item x="16"/>
        <item x="83"/>
        <item x="25"/>
        <item x="27"/>
        <item x="69"/>
        <item x="46"/>
        <item x="87"/>
        <item x="58"/>
        <item x="60"/>
        <item x="45"/>
        <item x="78"/>
        <item x="29"/>
        <item x="6"/>
        <item x="10"/>
        <item x="86"/>
        <item x="2"/>
        <item x="32"/>
        <item x="42"/>
        <item x="76"/>
        <item x="63"/>
        <item x="19"/>
        <item x="37"/>
        <item t="default"/>
      </items>
    </pivotField>
    <pivotField axis="axisRow" showAll="0">
      <items count="8">
        <item x="0"/>
        <item x="3"/>
        <item x="2"/>
        <item x="1"/>
        <item x="4"/>
        <item x="6"/>
        <item x="5"/>
        <item t="default"/>
      </items>
    </pivotField>
    <pivotField showAll="0"/>
    <pivotField showAll="0"/>
    <pivotField numFmtId="1" showAll="0"/>
    <pivotField showAll="0"/>
    <pivotField dataField="1" showAll="0"/>
    <pivotField showAll="0">
      <items count="3">
        <item x="0"/>
        <item x="1"/>
        <item t="default"/>
      </items>
    </pivotField>
  </pivotFields>
  <rowFields count="1">
    <field x="6"/>
  </rowFields>
  <rowItems count="8">
    <i>
      <x/>
    </i>
    <i>
      <x v="1"/>
    </i>
    <i>
      <x v="2"/>
    </i>
    <i>
      <x v="3"/>
    </i>
    <i>
      <x v="4"/>
    </i>
    <i>
      <x v="5"/>
    </i>
    <i>
      <x v="6"/>
    </i>
    <i t="grand">
      <x/>
    </i>
  </rowItems>
  <colItems count="1">
    <i/>
  </colItems>
  <dataFields count="1">
    <dataField name="Sum of Recovery Score"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538BB81-49F0-403A-8452-19FE6CD565CF}"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4:B38" firstHeaderRow="1" firstDataRow="1" firstDataCol="1"/>
  <pivotFields count="13">
    <pivotField showAll="0"/>
    <pivotField showAll="0">
      <items count="8">
        <item x="1"/>
        <item x="0"/>
        <item x="6"/>
        <item x="5"/>
        <item x="2"/>
        <item x="3"/>
        <item x="4"/>
        <item t="default"/>
      </items>
    </pivotField>
    <pivotField showAll="0">
      <items count="5">
        <item x="3"/>
        <item x="1"/>
        <item x="0"/>
        <item x="2"/>
        <item t="default"/>
      </items>
    </pivotField>
    <pivotField showAll="0">
      <items count="11">
        <item x="9"/>
        <item x="6"/>
        <item x="4"/>
        <item x="5"/>
        <item x="3"/>
        <item x="1"/>
        <item x="8"/>
        <item x="2"/>
        <item x="0"/>
        <item x="7"/>
        <item t="default"/>
      </items>
    </pivotField>
    <pivotField axis="axisRow" showAll="0">
      <items count="4">
        <item x="0"/>
        <item x="1"/>
        <item x="2"/>
        <item t="default"/>
      </items>
    </pivotField>
    <pivotField numFmtId="1" showAll="0"/>
    <pivotField showAll="0"/>
    <pivotField showAll="0"/>
    <pivotField showAll="0"/>
    <pivotField numFmtId="1" showAll="0"/>
    <pivotField showAll="0"/>
    <pivotField dataField="1" showAll="0"/>
    <pivotField showAll="0"/>
  </pivotFields>
  <rowFields count="1">
    <field x="4"/>
  </rowFields>
  <rowItems count="4">
    <i>
      <x/>
    </i>
    <i>
      <x v="1"/>
    </i>
    <i>
      <x v="2"/>
    </i>
    <i t="grand">
      <x/>
    </i>
  </rowItems>
  <colItems count="1">
    <i/>
  </colItems>
  <dataFields count="1">
    <dataField name="Sum of Recovery Score"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984E03E-C39D-4884-A6D8-22359DEAA746}" name="PivotTable17"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13">
    <pivotField dataField="1" showAll="0"/>
    <pivotField showAll="0">
      <items count="8">
        <item x="1"/>
        <item x="0"/>
        <item x="6"/>
        <item x="5"/>
        <item x="2"/>
        <item x="3"/>
        <item x="4"/>
        <item t="default"/>
      </items>
    </pivotField>
    <pivotField showAll="0">
      <items count="5">
        <item x="3"/>
        <item x="1"/>
        <item x="0"/>
        <item x="2"/>
        <item t="default"/>
      </items>
    </pivotField>
    <pivotField showAll="0">
      <items count="11">
        <item x="9"/>
        <item x="6"/>
        <item x="4"/>
        <item x="5"/>
        <item x="3"/>
        <item x="1"/>
        <item x="8"/>
        <item x="2"/>
        <item x="0"/>
        <item x="7"/>
        <item t="default"/>
      </items>
    </pivotField>
    <pivotField showAll="0">
      <items count="4">
        <item x="0"/>
        <item x="1"/>
        <item x="2"/>
        <item t="default"/>
      </items>
    </pivotField>
    <pivotField numFmtId="1" showAll="0"/>
    <pivotField showAll="0"/>
    <pivotField dataField="1" showAll="0"/>
    <pivotField showAll="0"/>
    <pivotField dataField="1" numFmtId="1" showAll="0"/>
    <pivotField showAll="0"/>
    <pivotField showAll="0"/>
    <pivotField showAll="0"/>
  </pivotFields>
  <rowFields count="1">
    <field x="-2"/>
  </rowFields>
  <rowItems count="3">
    <i>
      <x/>
    </i>
    <i i="1">
      <x v="1"/>
    </i>
    <i i="2">
      <x v="2"/>
    </i>
  </rowItems>
  <colItems count="1">
    <i/>
  </colItems>
  <dataFields count="3">
    <dataField name="Count of Patient ID" fld="0" subtotal="count" baseField="0" baseItem="0"/>
    <dataField name="Sum of Treatment Cost" fld="7" baseField="0" baseItem="0"/>
    <dataField name="Average of Hospital Stay (Days)" fld="9" subtotal="average" baseField="0" baseItem="0" numFmtId="1"/>
  </dataFields>
  <formats count="1">
    <format dxfId="0">
      <pivotArea collapsedLevelsAreSubtotals="1"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1DF1313-4663-4A9D-A276-938C0010B0C1}" name="PivotTable4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1:B119" firstHeaderRow="1" firstDataRow="1" firstDataCol="1"/>
  <pivotFields count="13">
    <pivotField dataField="1" showAll="0"/>
    <pivotField axis="axisRow" showAll="0">
      <items count="8">
        <item x="1"/>
        <item x="0"/>
        <item x="6"/>
        <item x="5"/>
        <item x="2"/>
        <item x="3"/>
        <item x="4"/>
        <item t="default"/>
      </items>
    </pivotField>
    <pivotField showAll="0">
      <items count="5">
        <item x="3"/>
        <item x="1"/>
        <item x="0"/>
        <item x="2"/>
        <item t="default"/>
      </items>
    </pivotField>
    <pivotField showAll="0">
      <items count="11">
        <item x="9"/>
        <item x="6"/>
        <item x="4"/>
        <item x="5"/>
        <item x="3"/>
        <item x="1"/>
        <item x="8"/>
        <item x="2"/>
        <item x="0"/>
        <item x="7"/>
        <item t="default"/>
      </items>
    </pivotField>
    <pivotField showAll="0">
      <items count="4">
        <item x="0"/>
        <item x="1"/>
        <item x="2"/>
        <item t="default"/>
      </items>
    </pivotField>
    <pivotField numFmtId="1" showAll="0"/>
    <pivotField showAll="0"/>
    <pivotField showAll="0"/>
    <pivotField showAll="0"/>
    <pivotField numFmtId="1" showAll="0"/>
    <pivotField showAll="0"/>
    <pivotField showAll="0"/>
    <pivotField showAll="0"/>
  </pivotFields>
  <rowFields count="1">
    <field x="1"/>
  </rowFields>
  <rowItems count="8">
    <i>
      <x/>
    </i>
    <i>
      <x v="1"/>
    </i>
    <i>
      <x v="2"/>
    </i>
    <i>
      <x v="3"/>
    </i>
    <i>
      <x v="4"/>
    </i>
    <i>
      <x v="5"/>
    </i>
    <i>
      <x v="6"/>
    </i>
    <i t="grand">
      <x/>
    </i>
  </rowItems>
  <colItems count="1">
    <i/>
  </colItems>
  <dataFields count="1">
    <dataField name="Count of Patient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5D1429A-9E59-4DD2-AF34-A1DD6801AC8F}" name="PivotTable18"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B15" firstHeaderRow="1" firstDataRow="1" firstDataCol="1"/>
  <pivotFields count="13">
    <pivotField showAll="0"/>
    <pivotField showAll="0">
      <items count="8">
        <item x="1"/>
        <item x="0"/>
        <item x="6"/>
        <item x="5"/>
        <item x="2"/>
        <item x="3"/>
        <item x="4"/>
        <item t="default"/>
      </items>
    </pivotField>
    <pivotField axis="axisRow" dataField="1" showAll="0">
      <items count="5">
        <item x="3"/>
        <item x="1"/>
        <item x="0"/>
        <item x="2"/>
        <item t="default"/>
      </items>
    </pivotField>
    <pivotField showAll="0">
      <items count="11">
        <item x="9"/>
        <item x="6"/>
        <item x="4"/>
        <item x="5"/>
        <item x="3"/>
        <item x="1"/>
        <item x="8"/>
        <item x="2"/>
        <item x="0"/>
        <item x="7"/>
        <item t="default"/>
      </items>
    </pivotField>
    <pivotField showAll="0">
      <items count="4">
        <item x="0"/>
        <item x="1"/>
        <item x="2"/>
        <item t="default"/>
      </items>
    </pivotField>
    <pivotField numFmtId="1" showAll="0"/>
    <pivotField showAll="0">
      <items count="8">
        <item x="0"/>
        <item x="3"/>
        <item x="2"/>
        <item x="1"/>
        <item x="4"/>
        <item x="6"/>
        <item x="5"/>
        <item t="default"/>
      </items>
    </pivotField>
    <pivotField showAll="0">
      <items count="391">
        <item x="49"/>
        <item x="153"/>
        <item x="191"/>
        <item x="383"/>
        <item x="266"/>
        <item x="106"/>
        <item x="231"/>
        <item x="97"/>
        <item x="356"/>
        <item x="243"/>
        <item x="185"/>
        <item x="369"/>
        <item x="244"/>
        <item x="14"/>
        <item x="127"/>
        <item x="210"/>
        <item x="164"/>
        <item x="375"/>
        <item x="297"/>
        <item x="94"/>
        <item x="319"/>
        <item x="323"/>
        <item x="29"/>
        <item x="67"/>
        <item x="280"/>
        <item x="367"/>
        <item x="137"/>
        <item x="321"/>
        <item x="192"/>
        <item x="228"/>
        <item x="154"/>
        <item x="123"/>
        <item x="92"/>
        <item x="340"/>
        <item x="241"/>
        <item x="263"/>
        <item x="111"/>
        <item x="77"/>
        <item x="223"/>
        <item x="198"/>
        <item x="209"/>
        <item x="207"/>
        <item x="197"/>
        <item x="294"/>
        <item x="235"/>
        <item x="378"/>
        <item x="47"/>
        <item x="216"/>
        <item x="249"/>
        <item x="290"/>
        <item x="296"/>
        <item x="382"/>
        <item x="364"/>
        <item x="181"/>
        <item x="71"/>
        <item x="42"/>
        <item x="267"/>
        <item x="113"/>
        <item x="309"/>
        <item x="202"/>
        <item x="99"/>
        <item x="281"/>
        <item x="305"/>
        <item x="85"/>
        <item x="40"/>
        <item x="167"/>
        <item x="64"/>
        <item x="183"/>
        <item x="155"/>
        <item x="265"/>
        <item x="246"/>
        <item x="215"/>
        <item x="350"/>
        <item x="377"/>
        <item x="138"/>
        <item x="336"/>
        <item x="352"/>
        <item x="341"/>
        <item x="328"/>
        <item x="242"/>
        <item x="53"/>
        <item x="298"/>
        <item x="141"/>
        <item x="278"/>
        <item x="268"/>
        <item x="358"/>
        <item x="147"/>
        <item x="124"/>
        <item x="300"/>
        <item x="6"/>
        <item x="79"/>
        <item x="100"/>
        <item x="88"/>
        <item x="91"/>
        <item x="36"/>
        <item x="174"/>
        <item x="89"/>
        <item x="68"/>
        <item x="10"/>
        <item x="152"/>
        <item x="148"/>
        <item x="245"/>
        <item x="346"/>
        <item x="131"/>
        <item x="145"/>
        <item x="381"/>
        <item x="58"/>
        <item x="379"/>
        <item x="73"/>
        <item x="257"/>
        <item x="206"/>
        <item x="213"/>
        <item x="387"/>
        <item x="50"/>
        <item x="13"/>
        <item x="233"/>
        <item x="3"/>
        <item x="125"/>
        <item x="277"/>
        <item x="146"/>
        <item x="347"/>
        <item x="327"/>
        <item x="172"/>
        <item x="345"/>
        <item x="344"/>
        <item x="273"/>
        <item x="4"/>
        <item x="357"/>
        <item x="119"/>
        <item x="120"/>
        <item x="19"/>
        <item x="365"/>
        <item x="253"/>
        <item x="224"/>
        <item x="72"/>
        <item x="178"/>
        <item x="291"/>
        <item x="169"/>
        <item x="144"/>
        <item x="30"/>
        <item x="140"/>
        <item x="212"/>
        <item x="25"/>
        <item x="292"/>
        <item x="161"/>
        <item x="32"/>
        <item x="165"/>
        <item x="74"/>
        <item x="248"/>
        <item x="24"/>
        <item x="389"/>
        <item x="163"/>
        <item x="361"/>
        <item x="12"/>
        <item x="8"/>
        <item x="86"/>
        <item x="151"/>
        <item x="355"/>
        <item x="317"/>
        <item x="287"/>
        <item x="343"/>
        <item x="330"/>
        <item x="348"/>
        <item x="351"/>
        <item x="279"/>
        <item x="23"/>
        <item x="166"/>
        <item x="101"/>
        <item x="104"/>
        <item x="102"/>
        <item x="108"/>
        <item x="143"/>
        <item x="41"/>
        <item x="156"/>
        <item x="262"/>
        <item x="324"/>
        <item x="282"/>
        <item x="264"/>
        <item x="195"/>
        <item x="63"/>
        <item x="112"/>
        <item x="303"/>
        <item x="349"/>
        <item x="59"/>
        <item x="288"/>
        <item x="75"/>
        <item x="373"/>
        <item x="286"/>
        <item x="130"/>
        <item x="162"/>
        <item x="234"/>
        <item x="135"/>
        <item x="128"/>
        <item x="261"/>
        <item x="114"/>
        <item x="388"/>
        <item x="359"/>
        <item x="238"/>
        <item x="189"/>
        <item x="139"/>
        <item x="295"/>
        <item x="360"/>
        <item x="21"/>
        <item x="186"/>
        <item x="180"/>
        <item x="214"/>
        <item x="11"/>
        <item x="35"/>
        <item x="354"/>
        <item x="132"/>
        <item x="204"/>
        <item x="81"/>
        <item x="275"/>
        <item x="310"/>
        <item x="54"/>
        <item x="230"/>
        <item x="289"/>
        <item x="254"/>
        <item x="159"/>
        <item x="173"/>
        <item x="51"/>
        <item x="160"/>
        <item x="374"/>
        <item x="339"/>
        <item x="240"/>
        <item x="304"/>
        <item x="353"/>
        <item x="363"/>
        <item x="218"/>
        <item x="272"/>
        <item x="311"/>
        <item x="320"/>
        <item x="259"/>
        <item x="98"/>
        <item x="66"/>
        <item x="342"/>
        <item x="78"/>
        <item x="380"/>
        <item x="96"/>
        <item x="283"/>
        <item x="188"/>
        <item x="196"/>
        <item x="271"/>
        <item x="368"/>
        <item x="133"/>
        <item x="199"/>
        <item x="18"/>
        <item x="384"/>
        <item x="142"/>
        <item x="70"/>
        <item x="82"/>
        <item x="105"/>
        <item x="28"/>
        <item x="20"/>
        <item x="158"/>
        <item x="37"/>
        <item x="44"/>
        <item x="62"/>
        <item x="171"/>
        <item x="332"/>
        <item x="337"/>
        <item x="134"/>
        <item x="370"/>
        <item x="208"/>
        <item x="274"/>
        <item x="9"/>
        <item x="301"/>
        <item x="115"/>
        <item x="284"/>
        <item x="269"/>
        <item x="110"/>
        <item x="107"/>
        <item x="179"/>
        <item x="175"/>
        <item x="366"/>
        <item x="211"/>
        <item x="168"/>
        <item x="177"/>
        <item x="26"/>
        <item x="103"/>
        <item x="335"/>
        <item x="200"/>
        <item x="258"/>
        <item x="118"/>
        <item x="170"/>
        <item x="251"/>
        <item x="48"/>
        <item x="252"/>
        <item x="302"/>
        <item x="7"/>
        <item x="326"/>
        <item x="276"/>
        <item x="217"/>
        <item x="316"/>
        <item x="226"/>
        <item x="61"/>
        <item x="299"/>
        <item x="65"/>
        <item x="1"/>
        <item x="33"/>
        <item x="386"/>
        <item x="45"/>
        <item x="95"/>
        <item x="221"/>
        <item x="372"/>
        <item x="285"/>
        <item x="157"/>
        <item x="331"/>
        <item x="5"/>
        <item x="34"/>
        <item x="150"/>
        <item x="56"/>
        <item x="376"/>
        <item x="122"/>
        <item x="193"/>
        <item x="0"/>
        <item x="334"/>
        <item x="315"/>
        <item x="203"/>
        <item x="116"/>
        <item x="43"/>
        <item x="255"/>
        <item x="225"/>
        <item x="371"/>
        <item x="220"/>
        <item x="239"/>
        <item x="270"/>
        <item x="182"/>
        <item x="136"/>
        <item x="318"/>
        <item x="219"/>
        <item x="87"/>
        <item x="55"/>
        <item x="60"/>
        <item x="184"/>
        <item x="90"/>
        <item x="57"/>
        <item x="314"/>
        <item x="237"/>
        <item x="260"/>
        <item x="117"/>
        <item x="126"/>
        <item x="194"/>
        <item x="69"/>
        <item x="250"/>
        <item x="16"/>
        <item x="322"/>
        <item x="307"/>
        <item x="293"/>
        <item x="236"/>
        <item x="227"/>
        <item x="205"/>
        <item x="329"/>
        <item x="149"/>
        <item x="129"/>
        <item x="256"/>
        <item x="313"/>
        <item x="325"/>
        <item x="46"/>
        <item x="312"/>
        <item x="338"/>
        <item x="52"/>
        <item x="84"/>
        <item x="229"/>
        <item x="362"/>
        <item x="201"/>
        <item x="39"/>
        <item x="2"/>
        <item x="306"/>
        <item x="176"/>
        <item x="93"/>
        <item x="17"/>
        <item x="22"/>
        <item x="109"/>
        <item x="308"/>
        <item x="187"/>
        <item x="121"/>
        <item x="83"/>
        <item x="15"/>
        <item x="31"/>
        <item x="333"/>
        <item x="385"/>
        <item x="222"/>
        <item x="247"/>
        <item x="38"/>
        <item x="27"/>
        <item x="190"/>
        <item x="80"/>
        <item x="232"/>
        <item x="76"/>
        <item t="default"/>
      </items>
    </pivotField>
    <pivotField showAll="0"/>
    <pivotField numFmtId="1" showAll="0"/>
    <pivotField showAll="0"/>
    <pivotField showAll="0"/>
    <pivotField showAll="0">
      <items count="3">
        <item x="0"/>
        <item x="1"/>
        <item t="default"/>
      </items>
    </pivotField>
  </pivotFields>
  <rowFields count="1">
    <field x="2"/>
  </rowFields>
  <rowItems count="5">
    <i>
      <x/>
    </i>
    <i>
      <x v="1"/>
    </i>
    <i>
      <x v="2"/>
    </i>
    <i>
      <x v="3"/>
    </i>
    <i t="grand">
      <x/>
    </i>
  </rowItems>
  <colItems count="1">
    <i/>
  </colItems>
  <dataFields count="1">
    <dataField name="Count of Treatment Typ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7125572-6119-4963-AF0C-97A0AB612C4C}"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5:B30" firstHeaderRow="1" firstDataRow="1" firstDataCol="1"/>
  <pivotFields count="13">
    <pivotField showAll="0">
      <items count="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t="default"/>
      </items>
    </pivotField>
    <pivotField showAll="0">
      <items count="8">
        <item x="1"/>
        <item x="0"/>
        <item x="6"/>
        <item x="5"/>
        <item x="2"/>
        <item x="3"/>
        <item x="4"/>
        <item t="default"/>
      </items>
    </pivotField>
    <pivotField axis="axisRow" showAll="0">
      <items count="5">
        <item x="3"/>
        <item x="1"/>
        <item x="0"/>
        <item x="2"/>
        <item t="default"/>
      </items>
    </pivotField>
    <pivotField showAll="0">
      <items count="11">
        <item x="9"/>
        <item x="6"/>
        <item x="4"/>
        <item x="5"/>
        <item x="3"/>
        <item x="1"/>
        <item x="8"/>
        <item x="2"/>
        <item x="0"/>
        <item x="7"/>
        <item t="default"/>
      </items>
    </pivotField>
    <pivotField showAll="0">
      <items count="4">
        <item x="0"/>
        <item x="1"/>
        <item x="2"/>
        <item t="default"/>
      </items>
    </pivotField>
    <pivotField numFmtId="1" showAll="0">
      <items count="89">
        <item x="3"/>
        <item x="62"/>
        <item x="52"/>
        <item x="1"/>
        <item x="11"/>
        <item x="5"/>
        <item x="70"/>
        <item x="28"/>
        <item x="18"/>
        <item x="30"/>
        <item x="47"/>
        <item x="80"/>
        <item x="65"/>
        <item x="56"/>
        <item x="53"/>
        <item x="64"/>
        <item x="35"/>
        <item x="51"/>
        <item x="68"/>
        <item x="14"/>
        <item x="9"/>
        <item x="66"/>
        <item x="82"/>
        <item x="39"/>
        <item x="84"/>
        <item x="71"/>
        <item x="22"/>
        <item x="13"/>
        <item x="21"/>
        <item x="26"/>
        <item x="0"/>
        <item x="34"/>
        <item x="41"/>
        <item x="74"/>
        <item x="33"/>
        <item x="7"/>
        <item x="55"/>
        <item x="85"/>
        <item x="12"/>
        <item x="59"/>
        <item x="81"/>
        <item x="4"/>
        <item x="72"/>
        <item x="49"/>
        <item x="8"/>
        <item x="36"/>
        <item x="54"/>
        <item x="48"/>
        <item x="75"/>
        <item x="44"/>
        <item x="23"/>
        <item x="43"/>
        <item x="24"/>
        <item x="50"/>
        <item x="31"/>
        <item x="20"/>
        <item x="38"/>
        <item x="15"/>
        <item x="67"/>
        <item x="61"/>
        <item x="77"/>
        <item x="73"/>
        <item x="17"/>
        <item x="40"/>
        <item x="57"/>
        <item x="79"/>
        <item x="16"/>
        <item x="83"/>
        <item x="25"/>
        <item x="27"/>
        <item x="69"/>
        <item x="46"/>
        <item x="87"/>
        <item x="58"/>
        <item x="60"/>
        <item x="45"/>
        <item x="78"/>
        <item x="29"/>
        <item x="6"/>
        <item x="10"/>
        <item x="86"/>
        <item x="2"/>
        <item x="32"/>
        <item x="42"/>
        <item x="76"/>
        <item x="63"/>
        <item x="19"/>
        <item x="37"/>
        <item t="default"/>
      </items>
    </pivotField>
    <pivotField showAll="0"/>
    <pivotField showAll="0"/>
    <pivotField showAll="0"/>
    <pivotField numFmtId="1" showAll="0">
      <items count="16">
        <item x="3"/>
        <item x="6"/>
        <item x="4"/>
        <item x="8"/>
        <item x="7"/>
        <item x="10"/>
        <item x="0"/>
        <item x="1"/>
        <item x="5"/>
        <item x="11"/>
        <item x="12"/>
        <item x="14"/>
        <item x="2"/>
        <item x="13"/>
        <item x="9"/>
        <item t="default"/>
      </items>
    </pivotField>
    <pivotField showAll="0"/>
    <pivotField dataField="1" showAll="0">
      <items count="52">
        <item x="18"/>
        <item x="38"/>
        <item x="32"/>
        <item x="19"/>
        <item x="21"/>
        <item x="46"/>
        <item x="7"/>
        <item x="45"/>
        <item x="29"/>
        <item x="44"/>
        <item x="9"/>
        <item x="39"/>
        <item x="49"/>
        <item x="40"/>
        <item x="1"/>
        <item x="22"/>
        <item x="27"/>
        <item x="10"/>
        <item x="42"/>
        <item x="35"/>
        <item x="34"/>
        <item x="47"/>
        <item x="8"/>
        <item x="48"/>
        <item x="4"/>
        <item x="11"/>
        <item x="2"/>
        <item x="13"/>
        <item x="36"/>
        <item x="23"/>
        <item x="43"/>
        <item x="12"/>
        <item x="33"/>
        <item x="41"/>
        <item x="5"/>
        <item x="14"/>
        <item x="6"/>
        <item x="50"/>
        <item x="20"/>
        <item x="26"/>
        <item x="17"/>
        <item x="24"/>
        <item x="25"/>
        <item x="30"/>
        <item x="3"/>
        <item x="28"/>
        <item x="16"/>
        <item x="0"/>
        <item x="37"/>
        <item x="15"/>
        <item x="31"/>
        <item t="default"/>
      </items>
    </pivotField>
    <pivotField showAll="0"/>
  </pivotFields>
  <rowFields count="1">
    <field x="2"/>
  </rowFields>
  <rowItems count="5">
    <i>
      <x/>
    </i>
    <i>
      <x v="1"/>
    </i>
    <i>
      <x v="2"/>
    </i>
    <i>
      <x v="3"/>
    </i>
    <i t="grand">
      <x/>
    </i>
  </rowItems>
  <colItems count="1">
    <i/>
  </colItems>
  <dataFields count="1">
    <dataField name="Sum of Recovery Score"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A4A5678-CD16-4EE8-8702-F2229B264526}" name="PivotTable5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2:B130" firstHeaderRow="1" firstDataRow="1" firstDataCol="1"/>
  <pivotFields count="13">
    <pivotField showAll="0"/>
    <pivotField axis="axisRow" showAll="0">
      <items count="8">
        <item x="1"/>
        <item x="0"/>
        <item x="6"/>
        <item x="5"/>
        <item x="2"/>
        <item x="3"/>
        <item x="4"/>
        <item t="default"/>
      </items>
    </pivotField>
    <pivotField showAll="0">
      <items count="5">
        <item x="3"/>
        <item x="1"/>
        <item x="0"/>
        <item x="2"/>
        <item t="default"/>
      </items>
    </pivotField>
    <pivotField showAll="0">
      <items count="11">
        <item x="9"/>
        <item x="6"/>
        <item x="4"/>
        <item x="5"/>
        <item x="3"/>
        <item x="1"/>
        <item x="8"/>
        <item x="2"/>
        <item x="0"/>
        <item x="7"/>
        <item t="default"/>
      </items>
    </pivotField>
    <pivotField showAll="0">
      <items count="4">
        <item x="0"/>
        <item x="1"/>
        <item x="2"/>
        <item t="default"/>
      </items>
    </pivotField>
    <pivotField numFmtId="1" showAll="0"/>
    <pivotField showAll="0"/>
    <pivotField showAll="0"/>
    <pivotField showAll="0"/>
    <pivotField dataField="1" numFmtId="1" showAll="0"/>
    <pivotField showAll="0"/>
    <pivotField showAll="0"/>
    <pivotField showAll="0"/>
  </pivotFields>
  <rowFields count="1">
    <field x="1"/>
  </rowFields>
  <rowItems count="8">
    <i>
      <x/>
    </i>
    <i>
      <x v="1"/>
    </i>
    <i>
      <x v="2"/>
    </i>
    <i>
      <x v="3"/>
    </i>
    <i>
      <x v="4"/>
    </i>
    <i>
      <x v="5"/>
    </i>
    <i>
      <x v="6"/>
    </i>
    <i t="grand">
      <x/>
    </i>
  </rowItems>
  <colItems count="1">
    <i/>
  </colItems>
  <dataFields count="1">
    <dataField name="Average of Hospital Stay (Days)" fld="9" subtotal="average" baseField="0" baseItem="0" numFmtId="2"/>
  </dataFields>
  <formats count="2">
    <format dxfId="2">
      <pivotArea collapsedLevelsAreSubtotals="1" fieldPosition="0">
        <references count="1">
          <reference field="1" count="0"/>
        </references>
      </pivotArea>
    </format>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72921C6C-D6ED-426C-8A39-C1AA498E0596}" sourceName="Gender">
  <pivotTables>
    <pivotTable tabId="5" name="PivotTable18"/>
    <pivotTable tabId="5" name="PivotTable17"/>
    <pivotTable tabId="5" name="PivotTable20"/>
    <pivotTable tabId="5" name="PivotTable21"/>
    <pivotTable tabId="5" name="PivotTable22"/>
    <pivotTable tabId="5" name="PivotTable23"/>
    <pivotTable tabId="5" name="PivotTable24"/>
    <pivotTable tabId="5" name="PivotTable25"/>
    <pivotTable tabId="5" name="PivotTable42"/>
    <pivotTable tabId="5" name="PivotTable46"/>
    <pivotTable tabId="5" name="PivotTable50"/>
  </pivotTables>
  <data>
    <tabular pivotCacheId="35785444">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eatment_Type" xr10:uid="{7FC96745-EDE8-40DD-BC0A-3A21AA776784}" sourceName="Treatment Type">
  <pivotTables>
    <pivotTable tabId="5" name="PivotTable18"/>
    <pivotTable tabId="5" name="PivotTable17"/>
    <pivotTable tabId="5" name="PivotTable20"/>
    <pivotTable tabId="5" name="PivotTable21"/>
    <pivotTable tabId="5" name="PivotTable23"/>
    <pivotTable tabId="5" name="PivotTable24"/>
    <pivotTable tabId="5" name="PivotTable25"/>
    <pivotTable tabId="5" name="PivotTable22"/>
    <pivotTable tabId="5" name="PivotTable42"/>
    <pivotTable tabId="5" name="PivotTable46"/>
    <pivotTable tabId="5" name="PivotTable50"/>
  </pivotTables>
  <data>
    <tabular pivotCacheId="35785444">
      <items count="4">
        <i x="3" s="1"/>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octor_Name" xr10:uid="{89796BFE-3897-49E7-A46D-C7AA6485CE41}" sourceName="Doctor Name">
  <pivotTables>
    <pivotTable tabId="5" name="PivotTable22"/>
    <pivotTable tabId="5" name="PivotTable17"/>
    <pivotTable tabId="5" name="PivotTable18"/>
    <pivotTable tabId="5" name="PivotTable20"/>
    <pivotTable tabId="5" name="PivotTable21"/>
    <pivotTable tabId="5" name="PivotTable23"/>
    <pivotTable tabId="5" name="PivotTable24"/>
    <pivotTable tabId="5" name="PivotTable25"/>
    <pivotTable tabId="5" name="PivotTable42"/>
    <pivotTable tabId="5" name="PivotTable46"/>
    <pivotTable tabId="5" name="PivotTable50"/>
  </pivotTables>
  <data>
    <tabular pivotCacheId="35785444">
      <items count="10">
        <i x="9" s="1"/>
        <i x="6" s="1"/>
        <i x="4" s="1"/>
        <i x="5" s="1"/>
        <i x="3" s="1"/>
        <i x="1" s="1"/>
        <i x="8" s="1"/>
        <i x="2" s="1"/>
        <i x="0" s="1"/>
        <i x="7"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00334A87-1D6E-4CD6-806B-2C1436B2D951}" sourceName="Department">
  <pivotTables>
    <pivotTable tabId="5" name="PivotTable50"/>
    <pivotTable tabId="5" name="PivotTable17"/>
    <pivotTable tabId="5" name="PivotTable18"/>
    <pivotTable tabId="5" name="PivotTable20"/>
    <pivotTable tabId="5" name="PivotTable21"/>
    <pivotTable tabId="5" name="PivotTable22"/>
    <pivotTable tabId="5" name="PivotTable23"/>
    <pivotTable tabId="5" name="PivotTable24"/>
    <pivotTable tabId="5" name="PivotTable25"/>
    <pivotTable tabId="5" name="PivotTable42"/>
    <pivotTable tabId="5" name="PivotTable46"/>
  </pivotTables>
  <data>
    <tabular pivotCacheId="35785444">
      <items count="7">
        <i x="1" s="1"/>
        <i x="0" s="1"/>
        <i x="6" s="1"/>
        <i x="5" s="1"/>
        <i x="2"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3A40826D-9552-4DFA-B0C3-C67792515FA5}" cache="Slicer_Gender" caption="Gender" style="SlicerStyleDark3" rowHeight="241300"/>
  <slicer name="Treatment Type" xr10:uid="{175E8ABD-5B39-4FB8-86B5-914378085186}" cache="Slicer_Treatment_Type" caption="Treatment Type" style="SlicerStyleDark3" rowHeight="241300"/>
  <slicer name="Doctor Name" xr10:uid="{7C9E747B-475F-4804-9952-C20C7E2C95EF}" cache="Slicer_Doctor_Name" caption="Doctor Name" startItem="3" style="SlicerStyleDark3" rowHeight="241300"/>
  <slicer name="Department" xr10:uid="{E925278F-31BE-4493-B244-10BBF014A8E9}" cache="Slicer_Department" caption="Department" style="SlicerStyleDark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BFDFFFD-AC49-4152-A3BE-B03B500A021B}" name="Table1" displayName="Table1" ref="A1:M403" totalsRowCount="1">
  <autoFilter ref="A1:M402" xr:uid="{4BFDFFFD-AC49-4152-A3BE-B03B500A021B}"/>
  <tableColumns count="13">
    <tableColumn id="1" xr3:uid="{2B7F5274-76C6-46AF-960F-6F6EEFB7535B}" name="Patient ID"/>
    <tableColumn id="2" xr3:uid="{8835CB9E-201F-4A16-804C-09755809A1DB}" name="Department"/>
    <tableColumn id="3" xr3:uid="{E058D110-B186-4D4B-B6E7-24E8CB590114}" name="Treatment Type"/>
    <tableColumn id="4" xr3:uid="{4FA9E26C-1958-4A3A-A072-7E5A694647C2}" name="Doctor Name"/>
    <tableColumn id="5" xr3:uid="{A7573E50-F223-4142-8C1B-981BCCA3DA01}" name="Gender"/>
    <tableColumn id="6" xr3:uid="{F0730BE7-A7DF-41D4-AC28-238400157EDC}" name="Age" dataDxfId="12" totalsRowDxfId="11"/>
    <tableColumn id="12" xr3:uid="{67878FB2-F998-4E71-A281-ADB1E2089735}" name="Age Band" dataDxfId="10" totalsRowDxfId="9"/>
    <tableColumn id="7" xr3:uid="{65EDD630-8169-4EE7-BE33-F110DD3C72C3}" name="Treatment Cost" dataDxfId="8" totalsRowDxfId="7" dataCellStyle="Currency" totalsRowCellStyle="Currency"/>
    <tableColumn id="13" xr3:uid="{8BAEDBBA-B89F-4CF7-9CC4-CDD2BF230CDE}" name="Treatment Cost Band"/>
    <tableColumn id="8" xr3:uid="{09EAE4EA-BFC2-43B0-8437-17827F47727B}" name="Hospital Stay (Days)" dataDxfId="6" totalsRowDxfId="5"/>
    <tableColumn id="16" xr3:uid="{63435D6F-1158-4A95-B2CB-072B4C238C32}" name="Hospital Stay Band" dataDxfId="4" totalsRowDxfId="3"/>
    <tableColumn id="9" xr3:uid="{B6D24A56-4128-4CDB-8EA3-11CDA6957B86}" name="Recovery Score"/>
    <tableColumn id="15" xr3:uid="{D42BC3DB-14B3-4F86-8092-9AABF425EEE9}" name="Recovery Score Range"/>
  </tableColumns>
  <tableStyleInfo name="TableStyleLight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3A608-3C16-4C9E-A79D-E63510A78299}">
  <dimension ref="A1:K402"/>
  <sheetViews>
    <sheetView topLeftCell="A13" workbookViewId="0">
      <selection activeCell="N405" sqref="N405"/>
    </sheetView>
  </sheetViews>
  <sheetFormatPr defaultRowHeight="15" x14ac:dyDescent="0.25"/>
  <cols>
    <col min="2" max="2" width="14.7109375" bestFit="1" customWidth="1"/>
    <col min="3" max="3" width="13.28515625" bestFit="1" customWidth="1"/>
    <col min="4" max="4" width="11.28515625" bestFit="1" customWidth="1"/>
    <col min="8" max="8" width="16.42578125" bestFit="1" customWidth="1"/>
    <col min="9" max="9" width="12.5703125" bestFit="1" customWidth="1"/>
  </cols>
  <sheetData>
    <row r="1" spans="1:9" x14ac:dyDescent="0.25">
      <c r="A1" t="s">
        <v>0</v>
      </c>
      <c r="B1" t="s">
        <v>1</v>
      </c>
      <c r="C1" t="s">
        <v>2</v>
      </c>
      <c r="D1" t="s">
        <v>3</v>
      </c>
      <c r="E1" t="s">
        <v>4</v>
      </c>
      <c r="F1" t="s">
        <v>5</v>
      </c>
      <c r="G1" t="s">
        <v>6</v>
      </c>
      <c r="H1" t="s">
        <v>7</v>
      </c>
      <c r="I1" t="s">
        <v>8</v>
      </c>
    </row>
    <row r="2" spans="1:9" x14ac:dyDescent="0.25">
      <c r="A2" t="s">
        <v>9</v>
      </c>
      <c r="B2" t="s">
        <v>10</v>
      </c>
      <c r="C2" t="s">
        <v>11</v>
      </c>
      <c r="D2" t="s">
        <v>12</v>
      </c>
      <c r="E2" t="s">
        <v>13</v>
      </c>
      <c r="F2">
        <v>32</v>
      </c>
      <c r="G2">
        <v>8657</v>
      </c>
      <c r="H2">
        <v>7</v>
      </c>
      <c r="I2">
        <v>97</v>
      </c>
    </row>
    <row r="3" spans="1:9" x14ac:dyDescent="0.25">
      <c r="A3" t="s">
        <v>14</v>
      </c>
      <c r="B3" t="s">
        <v>15</v>
      </c>
      <c r="C3" t="s">
        <v>11</v>
      </c>
      <c r="D3" t="s">
        <v>16</v>
      </c>
      <c r="E3" t="s">
        <v>17</v>
      </c>
      <c r="F3">
        <v>4</v>
      </c>
      <c r="G3">
        <v>6535</v>
      </c>
      <c r="H3">
        <v>8</v>
      </c>
      <c r="I3">
        <v>64</v>
      </c>
    </row>
    <row r="4" spans="1:9" x14ac:dyDescent="0.25">
      <c r="A4" t="s">
        <v>18</v>
      </c>
      <c r="B4" t="s">
        <v>19</v>
      </c>
      <c r="C4" t="s">
        <v>11</v>
      </c>
      <c r="D4" t="s">
        <v>20</v>
      </c>
      <c r="E4" t="s">
        <v>17</v>
      </c>
      <c r="F4">
        <v>84</v>
      </c>
      <c r="G4">
        <v>16490</v>
      </c>
      <c r="H4">
        <v>13</v>
      </c>
      <c r="I4">
        <v>76</v>
      </c>
    </row>
    <row r="5" spans="1:9" x14ac:dyDescent="0.25">
      <c r="A5" t="s">
        <v>21</v>
      </c>
      <c r="B5" t="s">
        <v>22</v>
      </c>
      <c r="C5" t="s">
        <v>23</v>
      </c>
      <c r="D5" t="s">
        <v>16</v>
      </c>
      <c r="E5" t="s">
        <v>17</v>
      </c>
      <c r="F5">
        <v>1</v>
      </c>
      <c r="G5">
        <v>1754</v>
      </c>
      <c r="H5">
        <v>1</v>
      </c>
      <c r="I5">
        <v>94</v>
      </c>
    </row>
    <row r="6" spans="1:9" x14ac:dyDescent="0.25">
      <c r="A6" t="s">
        <v>24</v>
      </c>
      <c r="B6" t="s">
        <v>25</v>
      </c>
      <c r="C6" t="s">
        <v>26</v>
      </c>
      <c r="D6" t="s">
        <v>27</v>
      </c>
      <c r="E6" t="s">
        <v>17</v>
      </c>
      <c r="F6">
        <v>44</v>
      </c>
      <c r="G6">
        <v>1837</v>
      </c>
      <c r="H6">
        <v>3</v>
      </c>
      <c r="I6">
        <v>74</v>
      </c>
    </row>
    <row r="7" spans="1:9" x14ac:dyDescent="0.25">
      <c r="A7" t="s">
        <v>28</v>
      </c>
      <c r="B7" t="s">
        <v>15</v>
      </c>
      <c r="C7" t="s">
        <v>26</v>
      </c>
      <c r="D7" t="s">
        <v>29</v>
      </c>
      <c r="E7" t="s">
        <v>13</v>
      </c>
      <c r="F7">
        <v>6</v>
      </c>
      <c r="G7">
        <v>6977</v>
      </c>
      <c r="H7">
        <v>9</v>
      </c>
      <c r="I7">
        <v>84</v>
      </c>
    </row>
    <row r="8" spans="1:9" x14ac:dyDescent="0.25">
      <c r="A8" t="s">
        <v>30</v>
      </c>
      <c r="B8" t="s">
        <v>15</v>
      </c>
      <c r="C8" t="s">
        <v>23</v>
      </c>
      <c r="D8" t="s">
        <v>31</v>
      </c>
      <c r="E8" t="s">
        <v>13</v>
      </c>
      <c r="F8">
        <v>81</v>
      </c>
      <c r="G8">
        <v>1466</v>
      </c>
      <c r="H8">
        <v>2</v>
      </c>
      <c r="I8">
        <v>86</v>
      </c>
    </row>
    <row r="9" spans="1:9" x14ac:dyDescent="0.25">
      <c r="A9" t="s">
        <v>32</v>
      </c>
      <c r="B9" t="s">
        <v>22</v>
      </c>
      <c r="C9" t="s">
        <v>11</v>
      </c>
      <c r="D9" t="s">
        <v>12</v>
      </c>
      <c r="E9" t="s">
        <v>13</v>
      </c>
      <c r="F9">
        <v>38</v>
      </c>
      <c r="G9">
        <v>6307</v>
      </c>
      <c r="H9">
        <v>8</v>
      </c>
      <c r="I9">
        <v>56</v>
      </c>
    </row>
    <row r="10" spans="1:9" x14ac:dyDescent="0.25">
      <c r="A10" t="s">
        <v>33</v>
      </c>
      <c r="B10" t="s">
        <v>25</v>
      </c>
      <c r="C10" t="s">
        <v>26</v>
      </c>
      <c r="D10" t="s">
        <v>34</v>
      </c>
      <c r="E10" t="s">
        <v>13</v>
      </c>
      <c r="F10">
        <v>47</v>
      </c>
      <c r="G10">
        <v>2332</v>
      </c>
      <c r="H10">
        <v>7</v>
      </c>
      <c r="I10">
        <v>72</v>
      </c>
    </row>
    <row r="11" spans="1:9" x14ac:dyDescent="0.25">
      <c r="A11" t="s">
        <v>35</v>
      </c>
      <c r="B11" t="s">
        <v>22</v>
      </c>
      <c r="C11" t="s">
        <v>26</v>
      </c>
      <c r="D11" t="s">
        <v>31</v>
      </c>
      <c r="E11" t="s">
        <v>13</v>
      </c>
      <c r="F11">
        <v>22</v>
      </c>
      <c r="G11">
        <v>5375</v>
      </c>
      <c r="H11">
        <v>5</v>
      </c>
      <c r="I11">
        <v>60</v>
      </c>
    </row>
    <row r="12" spans="1:9" x14ac:dyDescent="0.25">
      <c r="A12" t="s">
        <v>36</v>
      </c>
      <c r="B12" t="s">
        <v>25</v>
      </c>
      <c r="C12" t="s">
        <v>23</v>
      </c>
      <c r="D12" t="s">
        <v>27</v>
      </c>
      <c r="E12" t="s">
        <v>37</v>
      </c>
      <c r="F12">
        <v>82</v>
      </c>
      <c r="G12">
        <v>1609</v>
      </c>
      <c r="H12">
        <v>3</v>
      </c>
      <c r="I12">
        <v>64</v>
      </c>
    </row>
    <row r="13" spans="1:9" x14ac:dyDescent="0.25">
      <c r="A13" t="s">
        <v>38</v>
      </c>
      <c r="B13" t="s">
        <v>10</v>
      </c>
      <c r="C13" t="s">
        <v>26</v>
      </c>
      <c r="D13" t="s">
        <v>12</v>
      </c>
      <c r="E13" t="s">
        <v>17</v>
      </c>
      <c r="F13">
        <v>5</v>
      </c>
      <c r="G13">
        <v>3584</v>
      </c>
      <c r="H13">
        <v>8</v>
      </c>
      <c r="I13">
        <v>67</v>
      </c>
    </row>
    <row r="14" spans="1:9" x14ac:dyDescent="0.25">
      <c r="A14" t="s">
        <v>39</v>
      </c>
      <c r="B14" t="s">
        <v>15</v>
      </c>
      <c r="C14" t="s">
        <v>40</v>
      </c>
      <c r="D14" t="s">
        <v>16</v>
      </c>
      <c r="E14" t="s">
        <v>13</v>
      </c>
      <c r="F14">
        <v>41</v>
      </c>
      <c r="G14">
        <v>2241</v>
      </c>
      <c r="H14">
        <v>4</v>
      </c>
      <c r="I14">
        <v>75</v>
      </c>
    </row>
    <row r="15" spans="1:9" x14ac:dyDescent="0.25">
      <c r="A15" t="s">
        <v>41</v>
      </c>
      <c r="B15" t="s">
        <v>10</v>
      </c>
      <c r="C15" t="s">
        <v>23</v>
      </c>
      <c r="D15" t="s">
        <v>42</v>
      </c>
      <c r="E15" t="s">
        <v>17</v>
      </c>
      <c r="F15">
        <v>32</v>
      </c>
      <c r="G15">
        <v>1725</v>
      </c>
      <c r="H15">
        <v>3</v>
      </c>
      <c r="I15">
        <v>84</v>
      </c>
    </row>
    <row r="16" spans="1:9" x14ac:dyDescent="0.25">
      <c r="A16" t="s">
        <v>43</v>
      </c>
      <c r="B16" t="s">
        <v>44</v>
      </c>
      <c r="C16" t="s">
        <v>23</v>
      </c>
      <c r="D16" t="s">
        <v>16</v>
      </c>
      <c r="E16" t="s">
        <v>17</v>
      </c>
      <c r="F16">
        <v>29</v>
      </c>
      <c r="G16">
        <v>483</v>
      </c>
      <c r="H16">
        <v>3</v>
      </c>
      <c r="I16">
        <v>81</v>
      </c>
    </row>
    <row r="17" spans="1:9" x14ac:dyDescent="0.25">
      <c r="A17" t="s">
        <v>45</v>
      </c>
      <c r="B17" t="s">
        <v>15</v>
      </c>
      <c r="C17" t="s">
        <v>11</v>
      </c>
      <c r="D17" t="s">
        <v>31</v>
      </c>
      <c r="E17" t="s">
        <v>17</v>
      </c>
      <c r="F17">
        <v>21</v>
      </c>
      <c r="G17">
        <v>17977</v>
      </c>
      <c r="H17">
        <v>15</v>
      </c>
      <c r="I17">
        <v>77</v>
      </c>
    </row>
    <row r="18" spans="1:9" x14ac:dyDescent="0.25">
      <c r="A18" t="s">
        <v>46</v>
      </c>
      <c r="B18" t="s">
        <v>19</v>
      </c>
      <c r="C18" t="s">
        <v>11</v>
      </c>
      <c r="D18" t="s">
        <v>47</v>
      </c>
      <c r="E18" t="s">
        <v>17</v>
      </c>
      <c r="F18">
        <v>60</v>
      </c>
      <c r="G18">
        <v>13669</v>
      </c>
      <c r="H18">
        <v>9</v>
      </c>
      <c r="I18">
        <v>85</v>
      </c>
    </row>
    <row r="19" spans="1:9" x14ac:dyDescent="0.25">
      <c r="A19" t="s">
        <v>48</v>
      </c>
      <c r="B19" t="s">
        <v>49</v>
      </c>
      <c r="C19" t="s">
        <v>11</v>
      </c>
      <c r="D19" t="s">
        <v>31</v>
      </c>
      <c r="E19" t="s">
        <v>13</v>
      </c>
      <c r="F19">
        <v>69</v>
      </c>
      <c r="G19">
        <v>17302</v>
      </c>
      <c r="H19">
        <v>9</v>
      </c>
      <c r="I19">
        <v>99</v>
      </c>
    </row>
    <row r="20" spans="1:9" x14ac:dyDescent="0.25">
      <c r="A20" t="s">
        <v>50</v>
      </c>
      <c r="B20" t="s">
        <v>10</v>
      </c>
      <c r="C20" t="s">
        <v>26</v>
      </c>
      <c r="D20" t="s">
        <v>31</v>
      </c>
      <c r="E20" t="s">
        <v>17</v>
      </c>
      <c r="F20">
        <v>21</v>
      </c>
      <c r="G20">
        <v>4716</v>
      </c>
      <c r="H20">
        <v>2</v>
      </c>
      <c r="I20">
        <v>96</v>
      </c>
    </row>
    <row r="21" spans="1:9" x14ac:dyDescent="0.25">
      <c r="A21" t="s">
        <v>51</v>
      </c>
      <c r="B21" t="s">
        <v>10</v>
      </c>
      <c r="C21" t="s">
        <v>26</v>
      </c>
      <c r="D21" t="s">
        <v>20</v>
      </c>
      <c r="E21" t="s">
        <v>13</v>
      </c>
      <c r="F21">
        <v>65</v>
      </c>
      <c r="G21">
        <v>1871</v>
      </c>
      <c r="H21">
        <v>6</v>
      </c>
      <c r="I21">
        <v>90</v>
      </c>
    </row>
    <row r="22" spans="1:9" x14ac:dyDescent="0.25">
      <c r="A22" t="s">
        <v>52</v>
      </c>
      <c r="B22" t="s">
        <v>19</v>
      </c>
      <c r="C22" t="s">
        <v>40</v>
      </c>
      <c r="D22" t="s">
        <v>42</v>
      </c>
      <c r="E22" t="s">
        <v>17</v>
      </c>
      <c r="F22">
        <v>21</v>
      </c>
      <c r="G22">
        <v>4918</v>
      </c>
      <c r="H22">
        <v>5</v>
      </c>
      <c r="I22">
        <v>50</v>
      </c>
    </row>
    <row r="23" spans="1:9" x14ac:dyDescent="0.25">
      <c r="A23" t="s">
        <v>53</v>
      </c>
      <c r="B23" t="s">
        <v>19</v>
      </c>
      <c r="C23" t="s">
        <v>26</v>
      </c>
      <c r="D23" t="s">
        <v>34</v>
      </c>
      <c r="E23" t="s">
        <v>17</v>
      </c>
      <c r="F23">
        <v>47</v>
      </c>
      <c r="G23">
        <v>3519</v>
      </c>
      <c r="H23">
        <v>5</v>
      </c>
      <c r="I23">
        <v>53</v>
      </c>
    </row>
    <row r="24" spans="1:9" x14ac:dyDescent="0.25">
      <c r="A24" t="s">
        <v>54</v>
      </c>
      <c r="B24" t="s">
        <v>22</v>
      </c>
      <c r="C24" t="s">
        <v>11</v>
      </c>
      <c r="D24" t="s">
        <v>31</v>
      </c>
      <c r="E24" t="s">
        <v>13</v>
      </c>
      <c r="F24">
        <v>9</v>
      </c>
      <c r="G24">
        <v>17461</v>
      </c>
      <c r="H24">
        <v>13</v>
      </c>
      <c r="I24">
        <v>99</v>
      </c>
    </row>
    <row r="25" spans="1:9" x14ac:dyDescent="0.25">
      <c r="A25" t="s">
        <v>55</v>
      </c>
      <c r="B25" t="s">
        <v>22</v>
      </c>
      <c r="C25" t="s">
        <v>40</v>
      </c>
      <c r="D25" t="s">
        <v>34</v>
      </c>
      <c r="E25" t="s">
        <v>13</v>
      </c>
      <c r="F25">
        <v>22</v>
      </c>
      <c r="G25">
        <v>2671</v>
      </c>
      <c r="H25">
        <v>5</v>
      </c>
      <c r="I25">
        <v>88</v>
      </c>
    </row>
    <row r="26" spans="1:9" x14ac:dyDescent="0.25">
      <c r="A26" t="s">
        <v>56</v>
      </c>
      <c r="B26" t="s">
        <v>25</v>
      </c>
      <c r="C26" t="s">
        <v>40</v>
      </c>
      <c r="D26" t="s">
        <v>20</v>
      </c>
      <c r="E26" t="s">
        <v>13</v>
      </c>
      <c r="F26">
        <v>89</v>
      </c>
      <c r="G26">
        <v>2147</v>
      </c>
      <c r="H26">
        <v>3</v>
      </c>
      <c r="I26">
        <v>75</v>
      </c>
    </row>
    <row r="27" spans="1:9" x14ac:dyDescent="0.25">
      <c r="A27" t="s">
        <v>57</v>
      </c>
      <c r="B27" t="s">
        <v>10</v>
      </c>
      <c r="C27" t="s">
        <v>26</v>
      </c>
      <c r="D27" t="s">
        <v>34</v>
      </c>
      <c r="E27" t="s">
        <v>13</v>
      </c>
      <c r="F27">
        <v>58</v>
      </c>
      <c r="G27">
        <v>1991</v>
      </c>
      <c r="H27">
        <v>5</v>
      </c>
      <c r="I27">
        <v>64</v>
      </c>
    </row>
    <row r="28" spans="1:9" x14ac:dyDescent="0.25">
      <c r="A28" t="s">
        <v>58</v>
      </c>
      <c r="B28" t="s">
        <v>15</v>
      </c>
      <c r="C28" t="s">
        <v>26</v>
      </c>
      <c r="D28" t="s">
        <v>12</v>
      </c>
      <c r="E28" t="s">
        <v>13</v>
      </c>
      <c r="F28">
        <v>30</v>
      </c>
      <c r="G28">
        <v>5820</v>
      </c>
      <c r="H28">
        <v>5</v>
      </c>
      <c r="I28">
        <v>50</v>
      </c>
    </row>
    <row r="29" spans="1:9" x14ac:dyDescent="0.25">
      <c r="A29" t="s">
        <v>59</v>
      </c>
      <c r="B29" t="s">
        <v>15</v>
      </c>
      <c r="C29" t="s">
        <v>11</v>
      </c>
      <c r="D29" t="s">
        <v>60</v>
      </c>
      <c r="E29" t="s">
        <v>17</v>
      </c>
      <c r="F29">
        <v>5</v>
      </c>
      <c r="G29">
        <v>19084</v>
      </c>
      <c r="H29">
        <v>10</v>
      </c>
      <c r="I29">
        <v>54</v>
      </c>
    </row>
    <row r="30" spans="1:9" x14ac:dyDescent="0.25">
      <c r="A30" t="s">
        <v>61</v>
      </c>
      <c r="B30" t="s">
        <v>19</v>
      </c>
      <c r="C30" t="s">
        <v>40</v>
      </c>
      <c r="D30" t="s">
        <v>27</v>
      </c>
      <c r="E30" t="s">
        <v>13</v>
      </c>
      <c r="F30">
        <v>28</v>
      </c>
      <c r="G30">
        <v>4917</v>
      </c>
      <c r="H30">
        <v>2</v>
      </c>
      <c r="I30">
        <v>96</v>
      </c>
    </row>
    <row r="31" spans="1:9" x14ac:dyDescent="0.25">
      <c r="A31" t="s">
        <v>62</v>
      </c>
      <c r="B31" t="s">
        <v>19</v>
      </c>
      <c r="C31" t="s">
        <v>23</v>
      </c>
      <c r="D31" t="s">
        <v>60</v>
      </c>
      <c r="E31" t="s">
        <v>13</v>
      </c>
      <c r="F31">
        <v>53</v>
      </c>
      <c r="G31">
        <v>589</v>
      </c>
      <c r="H31">
        <v>1</v>
      </c>
      <c r="I31">
        <v>56</v>
      </c>
    </row>
    <row r="32" spans="1:9" x14ac:dyDescent="0.25">
      <c r="A32" t="s">
        <v>63</v>
      </c>
      <c r="B32" t="s">
        <v>10</v>
      </c>
      <c r="C32" t="s">
        <v>23</v>
      </c>
      <c r="D32" t="s">
        <v>29</v>
      </c>
      <c r="E32" t="s">
        <v>17</v>
      </c>
      <c r="F32">
        <v>60</v>
      </c>
      <c r="G32">
        <v>1969</v>
      </c>
      <c r="H32">
        <v>3</v>
      </c>
      <c r="I32">
        <v>53</v>
      </c>
    </row>
    <row r="33" spans="1:9" x14ac:dyDescent="0.25">
      <c r="A33" t="s">
        <v>64</v>
      </c>
      <c r="B33" t="s">
        <v>10</v>
      </c>
      <c r="C33" t="s">
        <v>11</v>
      </c>
      <c r="D33" t="s">
        <v>12</v>
      </c>
      <c r="E33" t="s">
        <v>17</v>
      </c>
      <c r="F33">
        <v>44</v>
      </c>
      <c r="G33">
        <v>18116</v>
      </c>
      <c r="H33">
        <v>6</v>
      </c>
      <c r="I33">
        <v>65</v>
      </c>
    </row>
    <row r="34" spans="1:9" x14ac:dyDescent="0.25">
      <c r="A34" t="s">
        <v>65</v>
      </c>
      <c r="B34" t="s">
        <v>22</v>
      </c>
      <c r="C34" t="s">
        <v>40</v>
      </c>
      <c r="D34" t="s">
        <v>20</v>
      </c>
      <c r="E34" t="s">
        <v>17</v>
      </c>
      <c r="F34">
        <v>55</v>
      </c>
      <c r="G34">
        <v>2003</v>
      </c>
      <c r="H34">
        <v>3</v>
      </c>
      <c r="I34">
        <v>79</v>
      </c>
    </row>
    <row r="35" spans="1:9" x14ac:dyDescent="0.25">
      <c r="A35" t="s">
        <v>66</v>
      </c>
      <c r="B35" t="s">
        <v>22</v>
      </c>
      <c r="C35" t="s">
        <v>11</v>
      </c>
      <c r="D35" t="s">
        <v>34</v>
      </c>
      <c r="E35" t="s">
        <v>13</v>
      </c>
      <c r="F35">
        <v>71</v>
      </c>
      <c r="G35">
        <v>6604</v>
      </c>
      <c r="H35">
        <v>5</v>
      </c>
      <c r="I35">
        <v>91</v>
      </c>
    </row>
    <row r="36" spans="1:9" x14ac:dyDescent="0.25">
      <c r="A36" t="s">
        <v>67</v>
      </c>
      <c r="B36" t="s">
        <v>19</v>
      </c>
      <c r="C36" t="s">
        <v>11</v>
      </c>
      <c r="D36" t="s">
        <v>31</v>
      </c>
      <c r="E36" t="s">
        <v>13</v>
      </c>
      <c r="F36">
        <v>31</v>
      </c>
      <c r="G36">
        <v>7724</v>
      </c>
      <c r="H36">
        <v>11</v>
      </c>
      <c r="I36">
        <v>81</v>
      </c>
    </row>
    <row r="37" spans="1:9" x14ac:dyDescent="0.25">
      <c r="A37" t="s">
        <v>68</v>
      </c>
      <c r="B37" t="s">
        <v>25</v>
      </c>
      <c r="C37" t="s">
        <v>40</v>
      </c>
      <c r="D37" t="s">
        <v>47</v>
      </c>
      <c r="E37" t="s">
        <v>13</v>
      </c>
      <c r="F37">
        <v>22</v>
      </c>
      <c r="G37">
        <v>3604</v>
      </c>
      <c r="H37">
        <v>1</v>
      </c>
      <c r="I37">
        <v>74</v>
      </c>
    </row>
    <row r="38" spans="1:9" x14ac:dyDescent="0.25">
      <c r="A38" t="s">
        <v>69</v>
      </c>
      <c r="B38" t="s">
        <v>44</v>
      </c>
      <c r="C38" t="s">
        <v>23</v>
      </c>
      <c r="D38" t="s">
        <v>27</v>
      </c>
      <c r="E38" t="s">
        <v>17</v>
      </c>
      <c r="F38">
        <v>72</v>
      </c>
      <c r="G38">
        <v>1555</v>
      </c>
      <c r="H38">
        <v>3</v>
      </c>
      <c r="I38">
        <v>81</v>
      </c>
    </row>
    <row r="39" spans="1:9" x14ac:dyDescent="0.25">
      <c r="A39" t="s">
        <v>70</v>
      </c>
      <c r="B39" t="s">
        <v>22</v>
      </c>
      <c r="C39" t="s">
        <v>40</v>
      </c>
      <c r="D39" t="s">
        <v>27</v>
      </c>
      <c r="E39" t="s">
        <v>17</v>
      </c>
      <c r="F39">
        <v>8</v>
      </c>
      <c r="G39">
        <v>4941</v>
      </c>
      <c r="H39">
        <v>1</v>
      </c>
      <c r="I39">
        <v>97</v>
      </c>
    </row>
    <row r="40" spans="1:9" x14ac:dyDescent="0.25">
      <c r="A40" t="s">
        <v>71</v>
      </c>
      <c r="B40" t="s">
        <v>44</v>
      </c>
      <c r="C40" t="s">
        <v>11</v>
      </c>
      <c r="D40" t="s">
        <v>12</v>
      </c>
      <c r="E40" t="s">
        <v>13</v>
      </c>
      <c r="F40">
        <v>65</v>
      </c>
      <c r="G40">
        <v>18970</v>
      </c>
      <c r="H40">
        <v>13</v>
      </c>
      <c r="I40">
        <v>60</v>
      </c>
    </row>
    <row r="41" spans="1:9" x14ac:dyDescent="0.25">
      <c r="A41" t="s">
        <v>72</v>
      </c>
      <c r="B41" t="s">
        <v>15</v>
      </c>
      <c r="C41" t="s">
        <v>11</v>
      </c>
      <c r="D41" t="s">
        <v>42</v>
      </c>
      <c r="E41" t="s">
        <v>17</v>
      </c>
      <c r="F41">
        <v>9</v>
      </c>
      <c r="G41">
        <v>16062</v>
      </c>
      <c r="H41">
        <v>8</v>
      </c>
      <c r="I41">
        <v>75</v>
      </c>
    </row>
    <row r="42" spans="1:9" x14ac:dyDescent="0.25">
      <c r="A42" t="s">
        <v>73</v>
      </c>
      <c r="B42" t="s">
        <v>15</v>
      </c>
      <c r="C42" t="s">
        <v>40</v>
      </c>
      <c r="D42" t="s">
        <v>16</v>
      </c>
      <c r="E42" t="s">
        <v>13</v>
      </c>
      <c r="F42">
        <v>80</v>
      </c>
      <c r="G42">
        <v>1171</v>
      </c>
      <c r="H42">
        <v>4</v>
      </c>
      <c r="I42">
        <v>92</v>
      </c>
    </row>
    <row r="43" spans="1:9" x14ac:dyDescent="0.25">
      <c r="A43" t="s">
        <v>74</v>
      </c>
      <c r="B43" t="s">
        <v>19</v>
      </c>
      <c r="C43" t="s">
        <v>26</v>
      </c>
      <c r="D43" t="s">
        <v>27</v>
      </c>
      <c r="E43" t="s">
        <v>17</v>
      </c>
      <c r="F43">
        <v>41</v>
      </c>
      <c r="G43">
        <v>2955</v>
      </c>
      <c r="H43">
        <v>6</v>
      </c>
      <c r="I43">
        <v>75</v>
      </c>
    </row>
    <row r="44" spans="1:9" x14ac:dyDescent="0.25">
      <c r="A44" t="s">
        <v>75</v>
      </c>
      <c r="B44" t="s">
        <v>22</v>
      </c>
      <c r="C44" t="s">
        <v>26</v>
      </c>
      <c r="D44" t="s">
        <v>34</v>
      </c>
      <c r="E44" t="s">
        <v>17</v>
      </c>
      <c r="F44">
        <v>10</v>
      </c>
      <c r="G44">
        <v>1076</v>
      </c>
      <c r="H44">
        <v>9</v>
      </c>
      <c r="I44">
        <v>89</v>
      </c>
    </row>
    <row r="45" spans="1:9" x14ac:dyDescent="0.25">
      <c r="A45" t="s">
        <v>76</v>
      </c>
      <c r="B45" t="s">
        <v>19</v>
      </c>
      <c r="C45" t="s">
        <v>11</v>
      </c>
      <c r="D45" t="s">
        <v>31</v>
      </c>
      <c r="E45" t="s">
        <v>13</v>
      </c>
      <c r="F45">
        <v>65</v>
      </c>
      <c r="G45">
        <v>9345</v>
      </c>
      <c r="H45">
        <v>7</v>
      </c>
      <c r="I45">
        <v>72</v>
      </c>
    </row>
    <row r="46" spans="1:9" x14ac:dyDescent="0.25">
      <c r="A46" t="s">
        <v>77</v>
      </c>
      <c r="B46" t="s">
        <v>15</v>
      </c>
      <c r="C46" t="s">
        <v>40</v>
      </c>
      <c r="D46" t="s">
        <v>29</v>
      </c>
      <c r="E46" t="s">
        <v>17</v>
      </c>
      <c r="F46">
        <v>57</v>
      </c>
      <c r="G46">
        <v>4950</v>
      </c>
      <c r="H46">
        <v>3</v>
      </c>
      <c r="I46">
        <v>89</v>
      </c>
    </row>
    <row r="47" spans="1:9" x14ac:dyDescent="0.25">
      <c r="A47" t="s">
        <v>78</v>
      </c>
      <c r="B47" t="s">
        <v>49</v>
      </c>
      <c r="C47" t="s">
        <v>11</v>
      </c>
      <c r="D47" t="s">
        <v>20</v>
      </c>
      <c r="E47" t="s">
        <v>17</v>
      </c>
      <c r="F47">
        <v>85</v>
      </c>
      <c r="G47">
        <v>6697</v>
      </c>
      <c r="H47">
        <v>7</v>
      </c>
      <c r="I47">
        <v>66</v>
      </c>
    </row>
    <row r="48" spans="1:9" x14ac:dyDescent="0.25">
      <c r="A48" t="s">
        <v>79</v>
      </c>
      <c r="B48" t="s">
        <v>15</v>
      </c>
      <c r="C48" t="s">
        <v>11</v>
      </c>
      <c r="D48" t="s">
        <v>20</v>
      </c>
      <c r="E48" t="s">
        <v>17</v>
      </c>
      <c r="F48">
        <v>37</v>
      </c>
      <c r="G48">
        <v>14909</v>
      </c>
      <c r="H48">
        <v>8</v>
      </c>
      <c r="I48">
        <v>95</v>
      </c>
    </row>
    <row r="49" spans="1:9" x14ac:dyDescent="0.25">
      <c r="A49" t="s">
        <v>80</v>
      </c>
      <c r="B49" t="s">
        <v>44</v>
      </c>
      <c r="C49" t="s">
        <v>40</v>
      </c>
      <c r="D49" t="s">
        <v>27</v>
      </c>
      <c r="E49" t="s">
        <v>13</v>
      </c>
      <c r="F49">
        <v>33</v>
      </c>
      <c r="G49">
        <v>916</v>
      </c>
      <c r="H49">
        <v>1</v>
      </c>
      <c r="I49">
        <v>90</v>
      </c>
    </row>
    <row r="50" spans="1:9" x14ac:dyDescent="0.25">
      <c r="A50" t="s">
        <v>81</v>
      </c>
      <c r="B50" t="s">
        <v>25</v>
      </c>
      <c r="C50" t="s">
        <v>26</v>
      </c>
      <c r="D50" t="s">
        <v>12</v>
      </c>
      <c r="E50" t="s">
        <v>17</v>
      </c>
      <c r="F50">
        <v>17</v>
      </c>
      <c r="G50">
        <v>6219</v>
      </c>
      <c r="H50">
        <v>6</v>
      </c>
      <c r="I50">
        <v>60</v>
      </c>
    </row>
    <row r="51" spans="1:9" x14ac:dyDescent="0.25">
      <c r="A51" t="s">
        <v>82</v>
      </c>
      <c r="B51" t="s">
        <v>10</v>
      </c>
      <c r="C51" t="s">
        <v>23</v>
      </c>
      <c r="D51" t="s">
        <v>20</v>
      </c>
      <c r="E51" t="s">
        <v>13</v>
      </c>
      <c r="F51">
        <v>72</v>
      </c>
      <c r="G51">
        <v>219</v>
      </c>
      <c r="H51">
        <v>1</v>
      </c>
      <c r="I51">
        <v>54</v>
      </c>
    </row>
    <row r="52" spans="1:9" x14ac:dyDescent="0.25">
      <c r="A52" t="s">
        <v>83</v>
      </c>
      <c r="B52" t="s">
        <v>10</v>
      </c>
      <c r="C52" t="s">
        <v>40</v>
      </c>
      <c r="D52" t="s">
        <v>20</v>
      </c>
      <c r="E52" t="s">
        <v>17</v>
      </c>
      <c r="F52">
        <v>48</v>
      </c>
      <c r="G52">
        <v>1713</v>
      </c>
      <c r="H52">
        <v>4</v>
      </c>
      <c r="I52">
        <v>58</v>
      </c>
    </row>
    <row r="53" spans="1:9" x14ac:dyDescent="0.25">
      <c r="A53" t="s">
        <v>84</v>
      </c>
      <c r="B53" t="s">
        <v>15</v>
      </c>
      <c r="C53" t="s">
        <v>26</v>
      </c>
      <c r="D53" t="s">
        <v>29</v>
      </c>
      <c r="E53" t="s">
        <v>13</v>
      </c>
      <c r="F53">
        <v>6</v>
      </c>
      <c r="G53">
        <v>3931</v>
      </c>
      <c r="H53">
        <v>5</v>
      </c>
      <c r="I53">
        <v>93</v>
      </c>
    </row>
    <row r="54" spans="1:9" x14ac:dyDescent="0.25">
      <c r="A54" t="s">
        <v>85</v>
      </c>
      <c r="B54" t="s">
        <v>22</v>
      </c>
      <c r="C54" t="s">
        <v>11</v>
      </c>
      <c r="D54" t="s">
        <v>29</v>
      </c>
      <c r="E54" t="s">
        <v>13</v>
      </c>
      <c r="F54">
        <v>53</v>
      </c>
      <c r="G54">
        <v>15168</v>
      </c>
      <c r="H54">
        <v>7</v>
      </c>
      <c r="I54">
        <v>65</v>
      </c>
    </row>
    <row r="55" spans="1:9" x14ac:dyDescent="0.25">
      <c r="A55" t="s">
        <v>86</v>
      </c>
      <c r="B55" t="s">
        <v>49</v>
      </c>
      <c r="C55" t="s">
        <v>40</v>
      </c>
      <c r="D55" t="s">
        <v>42</v>
      </c>
      <c r="E55" t="s">
        <v>13</v>
      </c>
      <c r="F55">
        <v>4</v>
      </c>
      <c r="G55">
        <v>1969</v>
      </c>
      <c r="H55">
        <v>3</v>
      </c>
      <c r="I55">
        <v>100</v>
      </c>
    </row>
    <row r="56" spans="1:9" x14ac:dyDescent="0.25">
      <c r="A56" t="s">
        <v>87</v>
      </c>
      <c r="B56" t="s">
        <v>25</v>
      </c>
      <c r="C56" t="s">
        <v>40</v>
      </c>
      <c r="D56" t="s">
        <v>27</v>
      </c>
      <c r="E56" t="s">
        <v>17</v>
      </c>
      <c r="F56">
        <v>90</v>
      </c>
      <c r="G56">
        <v>1385</v>
      </c>
      <c r="H56">
        <v>4</v>
      </c>
      <c r="I56">
        <v>52</v>
      </c>
    </row>
    <row r="57" spans="1:9" x14ac:dyDescent="0.25">
      <c r="A57" t="s">
        <v>88</v>
      </c>
      <c r="B57" t="s">
        <v>49</v>
      </c>
      <c r="C57" t="s">
        <v>23</v>
      </c>
      <c r="D57" t="s">
        <v>60</v>
      </c>
      <c r="E57" t="s">
        <v>17</v>
      </c>
      <c r="F57">
        <v>59</v>
      </c>
      <c r="G57">
        <v>916</v>
      </c>
      <c r="H57">
        <v>2</v>
      </c>
      <c r="I57">
        <v>100</v>
      </c>
    </row>
    <row r="58" spans="1:9" x14ac:dyDescent="0.25">
      <c r="A58" t="s">
        <v>89</v>
      </c>
      <c r="B58" t="s">
        <v>49</v>
      </c>
      <c r="C58" t="s">
        <v>40</v>
      </c>
      <c r="D58" t="s">
        <v>60</v>
      </c>
      <c r="E58" t="s">
        <v>17</v>
      </c>
      <c r="F58">
        <v>25</v>
      </c>
      <c r="G58">
        <v>3764</v>
      </c>
      <c r="H58">
        <v>3</v>
      </c>
      <c r="I58">
        <v>67</v>
      </c>
    </row>
    <row r="59" spans="1:9" x14ac:dyDescent="0.25">
      <c r="A59" t="s">
        <v>90</v>
      </c>
      <c r="B59" t="s">
        <v>49</v>
      </c>
      <c r="C59" t="s">
        <v>11</v>
      </c>
      <c r="D59" t="s">
        <v>27</v>
      </c>
      <c r="E59" t="s">
        <v>17</v>
      </c>
      <c r="F59">
        <v>66</v>
      </c>
      <c r="G59">
        <v>11548</v>
      </c>
      <c r="H59">
        <v>15</v>
      </c>
      <c r="I59">
        <v>84</v>
      </c>
    </row>
    <row r="60" spans="1:9" x14ac:dyDescent="0.25">
      <c r="A60" t="s">
        <v>91</v>
      </c>
      <c r="B60" t="s">
        <v>44</v>
      </c>
      <c r="C60" t="s">
        <v>11</v>
      </c>
      <c r="D60" t="s">
        <v>31</v>
      </c>
      <c r="E60" t="s">
        <v>13</v>
      </c>
      <c r="F60">
        <v>34</v>
      </c>
      <c r="G60">
        <v>7925</v>
      </c>
      <c r="H60">
        <v>14</v>
      </c>
      <c r="I60">
        <v>66</v>
      </c>
    </row>
    <row r="61" spans="1:9" x14ac:dyDescent="0.25">
      <c r="A61" t="s">
        <v>92</v>
      </c>
      <c r="B61" t="s">
        <v>15</v>
      </c>
      <c r="C61" t="s">
        <v>11</v>
      </c>
      <c r="D61" t="s">
        <v>16</v>
      </c>
      <c r="E61" t="s">
        <v>17</v>
      </c>
      <c r="F61">
        <v>41</v>
      </c>
      <c r="G61">
        <v>12149</v>
      </c>
      <c r="H61">
        <v>14</v>
      </c>
      <c r="I61">
        <v>82</v>
      </c>
    </row>
    <row r="62" spans="1:9" x14ac:dyDescent="0.25">
      <c r="A62" t="s">
        <v>93</v>
      </c>
      <c r="B62" t="s">
        <v>15</v>
      </c>
      <c r="C62" t="s">
        <v>23</v>
      </c>
      <c r="D62" t="s">
        <v>16</v>
      </c>
      <c r="E62" t="s">
        <v>17</v>
      </c>
      <c r="F62">
        <v>6</v>
      </c>
      <c r="G62">
        <v>1651</v>
      </c>
      <c r="H62">
        <v>2</v>
      </c>
      <c r="I62">
        <v>50</v>
      </c>
    </row>
    <row r="63" spans="1:9" x14ac:dyDescent="0.25">
      <c r="A63" t="s">
        <v>94</v>
      </c>
      <c r="B63" t="s">
        <v>19</v>
      </c>
      <c r="C63" t="s">
        <v>40</v>
      </c>
      <c r="D63" t="s">
        <v>29</v>
      </c>
      <c r="E63" t="s">
        <v>17</v>
      </c>
      <c r="F63">
        <v>86</v>
      </c>
      <c r="G63">
        <v>3204</v>
      </c>
      <c r="H63">
        <v>5</v>
      </c>
      <c r="I63">
        <v>70</v>
      </c>
    </row>
    <row r="64" spans="1:9" x14ac:dyDescent="0.25">
      <c r="A64" t="s">
        <v>95</v>
      </c>
      <c r="B64" t="s">
        <v>10</v>
      </c>
      <c r="C64" t="s">
        <v>11</v>
      </c>
      <c r="D64" t="s">
        <v>27</v>
      </c>
      <c r="E64" t="s">
        <v>13</v>
      </c>
      <c r="F64">
        <v>86</v>
      </c>
      <c r="G64">
        <v>11691</v>
      </c>
      <c r="H64">
        <v>10</v>
      </c>
      <c r="I64">
        <v>75</v>
      </c>
    </row>
    <row r="65" spans="1:9" x14ac:dyDescent="0.25">
      <c r="A65" t="s">
        <v>96</v>
      </c>
      <c r="B65" t="s">
        <v>10</v>
      </c>
      <c r="C65" t="s">
        <v>26</v>
      </c>
      <c r="D65" t="s">
        <v>20</v>
      </c>
      <c r="E65" t="s">
        <v>17</v>
      </c>
      <c r="F65">
        <v>54</v>
      </c>
      <c r="G65">
        <v>6447</v>
      </c>
      <c r="H65">
        <v>8</v>
      </c>
      <c r="I65">
        <v>93</v>
      </c>
    </row>
    <row r="66" spans="1:9" x14ac:dyDescent="0.25">
      <c r="A66" t="s">
        <v>97</v>
      </c>
      <c r="B66" t="s">
        <v>10</v>
      </c>
      <c r="C66" t="s">
        <v>40</v>
      </c>
      <c r="D66" t="s">
        <v>16</v>
      </c>
      <c r="E66" t="s">
        <v>13</v>
      </c>
      <c r="F66">
        <v>52</v>
      </c>
      <c r="G66">
        <v>4988</v>
      </c>
      <c r="H66">
        <v>1</v>
      </c>
      <c r="I66">
        <v>69</v>
      </c>
    </row>
    <row r="67" spans="1:9" x14ac:dyDescent="0.25">
      <c r="A67" t="s">
        <v>98</v>
      </c>
      <c r="B67" t="s">
        <v>44</v>
      </c>
      <c r="C67" t="s">
        <v>40</v>
      </c>
      <c r="D67" t="s">
        <v>47</v>
      </c>
      <c r="E67" t="s">
        <v>13</v>
      </c>
      <c r="F67">
        <v>78</v>
      </c>
      <c r="G67">
        <v>3139</v>
      </c>
      <c r="H67">
        <v>4</v>
      </c>
      <c r="I67">
        <v>78</v>
      </c>
    </row>
    <row r="68" spans="1:9" x14ac:dyDescent="0.25">
      <c r="A68" t="s">
        <v>99</v>
      </c>
      <c r="B68" t="s">
        <v>25</v>
      </c>
      <c r="C68" t="s">
        <v>40</v>
      </c>
      <c r="D68" t="s">
        <v>20</v>
      </c>
      <c r="E68" t="s">
        <v>17</v>
      </c>
      <c r="F68">
        <v>22</v>
      </c>
      <c r="G68">
        <v>1194</v>
      </c>
      <c r="H68">
        <v>3</v>
      </c>
      <c r="I68">
        <v>82</v>
      </c>
    </row>
    <row r="69" spans="1:9" x14ac:dyDescent="0.25">
      <c r="A69" t="s">
        <v>100</v>
      </c>
      <c r="B69" t="s">
        <v>10</v>
      </c>
      <c r="C69" t="s">
        <v>26</v>
      </c>
      <c r="D69" t="s">
        <v>31</v>
      </c>
      <c r="E69" t="s">
        <v>13</v>
      </c>
      <c r="F69">
        <v>31</v>
      </c>
      <c r="G69">
        <v>6511</v>
      </c>
      <c r="H69">
        <v>6</v>
      </c>
      <c r="I69">
        <v>64</v>
      </c>
    </row>
    <row r="70" spans="1:9" x14ac:dyDescent="0.25">
      <c r="A70" t="s">
        <v>101</v>
      </c>
      <c r="B70" t="s">
        <v>49</v>
      </c>
      <c r="C70" t="s">
        <v>40</v>
      </c>
      <c r="D70" t="s">
        <v>42</v>
      </c>
      <c r="E70" t="s">
        <v>17</v>
      </c>
      <c r="F70">
        <v>32</v>
      </c>
      <c r="G70">
        <v>4392</v>
      </c>
      <c r="H70">
        <v>5</v>
      </c>
      <c r="I70">
        <v>99</v>
      </c>
    </row>
    <row r="71" spans="1:9" x14ac:dyDescent="0.25">
      <c r="A71" t="s">
        <v>102</v>
      </c>
      <c r="B71" t="s">
        <v>15</v>
      </c>
      <c r="C71" t="s">
        <v>23</v>
      </c>
      <c r="D71" t="s">
        <v>47</v>
      </c>
      <c r="E71" t="s">
        <v>13</v>
      </c>
      <c r="F71">
        <v>74</v>
      </c>
      <c r="G71">
        <v>598</v>
      </c>
      <c r="H71">
        <v>3</v>
      </c>
      <c r="I71">
        <v>94</v>
      </c>
    </row>
    <row r="72" spans="1:9" x14ac:dyDescent="0.25">
      <c r="A72" t="s">
        <v>103</v>
      </c>
      <c r="B72" t="s">
        <v>25</v>
      </c>
      <c r="C72" t="s">
        <v>23</v>
      </c>
      <c r="D72" t="s">
        <v>47</v>
      </c>
      <c r="E72" t="s">
        <v>17</v>
      </c>
      <c r="F72">
        <v>84</v>
      </c>
      <c r="G72">
        <v>1608</v>
      </c>
      <c r="H72">
        <v>1</v>
      </c>
      <c r="I72">
        <v>98</v>
      </c>
    </row>
    <row r="73" spans="1:9" x14ac:dyDescent="0.25">
      <c r="A73" t="s">
        <v>104</v>
      </c>
      <c r="B73" t="s">
        <v>49</v>
      </c>
      <c r="C73" t="s">
        <v>11</v>
      </c>
      <c r="D73" t="s">
        <v>47</v>
      </c>
      <c r="E73" t="s">
        <v>17</v>
      </c>
      <c r="F73">
        <v>90</v>
      </c>
      <c r="G73">
        <v>13486</v>
      </c>
      <c r="H73">
        <v>12</v>
      </c>
      <c r="I73">
        <v>53</v>
      </c>
    </row>
    <row r="74" spans="1:9" x14ac:dyDescent="0.25">
      <c r="A74" t="s">
        <v>105</v>
      </c>
      <c r="B74" t="s">
        <v>19</v>
      </c>
      <c r="C74" t="s">
        <v>40</v>
      </c>
      <c r="D74" t="s">
        <v>31</v>
      </c>
      <c r="E74" t="s">
        <v>17</v>
      </c>
      <c r="F74">
        <v>60</v>
      </c>
      <c r="G74">
        <v>4851</v>
      </c>
      <c r="H74">
        <v>5</v>
      </c>
      <c r="I74">
        <v>88</v>
      </c>
    </row>
    <row r="75" spans="1:9" x14ac:dyDescent="0.25">
      <c r="A75" t="s">
        <v>106</v>
      </c>
      <c r="B75" t="s">
        <v>44</v>
      </c>
      <c r="C75" t="s">
        <v>23</v>
      </c>
      <c r="D75" t="s">
        <v>16</v>
      </c>
      <c r="E75" t="s">
        <v>13</v>
      </c>
      <c r="F75">
        <v>65</v>
      </c>
      <c r="G75">
        <v>1073</v>
      </c>
      <c r="H75">
        <v>3</v>
      </c>
      <c r="I75">
        <v>78</v>
      </c>
    </row>
    <row r="76" spans="1:9" x14ac:dyDescent="0.25">
      <c r="A76" t="s">
        <v>107</v>
      </c>
      <c r="B76" t="s">
        <v>22</v>
      </c>
      <c r="C76" t="s">
        <v>23</v>
      </c>
      <c r="D76" t="s">
        <v>34</v>
      </c>
      <c r="E76" t="s">
        <v>17</v>
      </c>
      <c r="F76">
        <v>32</v>
      </c>
      <c r="G76">
        <v>1920</v>
      </c>
      <c r="H76">
        <v>3</v>
      </c>
      <c r="I76">
        <v>67</v>
      </c>
    </row>
    <row r="77" spans="1:9" x14ac:dyDescent="0.25">
      <c r="A77" t="s">
        <v>108</v>
      </c>
      <c r="B77" t="s">
        <v>49</v>
      </c>
      <c r="C77" t="s">
        <v>23</v>
      </c>
      <c r="D77" t="s">
        <v>60</v>
      </c>
      <c r="E77" t="s">
        <v>17</v>
      </c>
      <c r="F77">
        <v>10</v>
      </c>
      <c r="G77">
        <v>1661</v>
      </c>
      <c r="H77">
        <v>2</v>
      </c>
      <c r="I77">
        <v>65</v>
      </c>
    </row>
    <row r="78" spans="1:9" x14ac:dyDescent="0.25">
      <c r="A78" t="s">
        <v>109</v>
      </c>
      <c r="B78" t="s">
        <v>44</v>
      </c>
      <c r="C78" t="s">
        <v>26</v>
      </c>
      <c r="D78" t="s">
        <v>29</v>
      </c>
      <c r="E78" t="s">
        <v>13</v>
      </c>
      <c r="F78">
        <v>11</v>
      </c>
      <c r="G78">
        <v>2133</v>
      </c>
      <c r="H78">
        <v>4</v>
      </c>
      <c r="I78">
        <v>64</v>
      </c>
    </row>
    <row r="79" spans="1:9" x14ac:dyDescent="0.25">
      <c r="A79" t="s">
        <v>110</v>
      </c>
      <c r="B79" t="s">
        <v>25</v>
      </c>
      <c r="C79" t="s">
        <v>40</v>
      </c>
      <c r="D79" t="s">
        <v>60</v>
      </c>
      <c r="E79" t="s">
        <v>17</v>
      </c>
      <c r="F79">
        <v>53</v>
      </c>
      <c r="G79">
        <v>3210</v>
      </c>
      <c r="H79">
        <v>5</v>
      </c>
      <c r="I79">
        <v>79</v>
      </c>
    </row>
    <row r="80" spans="1:9" x14ac:dyDescent="0.25">
      <c r="A80" t="s">
        <v>111</v>
      </c>
      <c r="B80" t="s">
        <v>25</v>
      </c>
      <c r="C80" t="s">
        <v>11</v>
      </c>
      <c r="D80" t="s">
        <v>60</v>
      </c>
      <c r="E80" t="s">
        <v>13</v>
      </c>
      <c r="F80">
        <v>50</v>
      </c>
      <c r="G80">
        <v>19824</v>
      </c>
      <c r="H80">
        <v>14</v>
      </c>
      <c r="I80">
        <v>94</v>
      </c>
    </row>
    <row r="81" spans="1:9" x14ac:dyDescent="0.25">
      <c r="A81" t="s">
        <v>112</v>
      </c>
      <c r="B81" t="s">
        <v>15</v>
      </c>
      <c r="C81" t="s">
        <v>23</v>
      </c>
      <c r="D81" t="s">
        <v>34</v>
      </c>
      <c r="E81" t="s">
        <v>17</v>
      </c>
      <c r="F81">
        <v>46</v>
      </c>
      <c r="G81">
        <v>811</v>
      </c>
      <c r="H81">
        <v>2</v>
      </c>
      <c r="I81">
        <v>76</v>
      </c>
    </row>
    <row r="82" spans="1:9" x14ac:dyDescent="0.25">
      <c r="A82" t="s">
        <v>113</v>
      </c>
      <c r="B82" t="s">
        <v>19</v>
      </c>
      <c r="C82" t="s">
        <v>40</v>
      </c>
      <c r="D82" t="s">
        <v>34</v>
      </c>
      <c r="E82" t="s">
        <v>17</v>
      </c>
      <c r="F82">
        <v>56</v>
      </c>
      <c r="G82">
        <v>4478</v>
      </c>
      <c r="H82">
        <v>1</v>
      </c>
      <c r="I82">
        <v>74</v>
      </c>
    </row>
    <row r="83" spans="1:9" x14ac:dyDescent="0.25">
      <c r="A83" t="s">
        <v>114</v>
      </c>
      <c r="B83" t="s">
        <v>44</v>
      </c>
      <c r="C83" t="s">
        <v>23</v>
      </c>
      <c r="D83" t="s">
        <v>42</v>
      </c>
      <c r="E83" t="s">
        <v>13</v>
      </c>
      <c r="F83">
        <v>17</v>
      </c>
      <c r="G83">
        <v>1474</v>
      </c>
      <c r="H83">
        <v>3</v>
      </c>
      <c r="I83">
        <v>51</v>
      </c>
    </row>
    <row r="84" spans="1:9" x14ac:dyDescent="0.25">
      <c r="A84" t="s">
        <v>115</v>
      </c>
      <c r="B84" t="s">
        <v>25</v>
      </c>
      <c r="C84" t="s">
        <v>11</v>
      </c>
      <c r="D84" t="s">
        <v>31</v>
      </c>
      <c r="E84" t="s">
        <v>13</v>
      </c>
      <c r="F84">
        <v>18</v>
      </c>
      <c r="G84">
        <v>19202</v>
      </c>
      <c r="H84">
        <v>12</v>
      </c>
      <c r="I84">
        <v>61</v>
      </c>
    </row>
    <row r="85" spans="1:9" x14ac:dyDescent="0.25">
      <c r="A85" t="s">
        <v>116</v>
      </c>
      <c r="B85" t="s">
        <v>15</v>
      </c>
      <c r="C85" t="s">
        <v>26</v>
      </c>
      <c r="D85" t="s">
        <v>47</v>
      </c>
      <c r="E85" t="s">
        <v>17</v>
      </c>
      <c r="F85">
        <v>59</v>
      </c>
      <c r="G85">
        <v>3677</v>
      </c>
      <c r="H85">
        <v>7</v>
      </c>
      <c r="I85">
        <v>98</v>
      </c>
    </row>
    <row r="86" spans="1:9" x14ac:dyDescent="0.25">
      <c r="A86" t="s">
        <v>117</v>
      </c>
      <c r="B86" t="s">
        <v>25</v>
      </c>
      <c r="C86" t="s">
        <v>26</v>
      </c>
      <c r="D86" t="s">
        <v>47</v>
      </c>
      <c r="E86" t="s">
        <v>17</v>
      </c>
      <c r="F86">
        <v>11</v>
      </c>
      <c r="G86">
        <v>4852</v>
      </c>
      <c r="H86">
        <v>2</v>
      </c>
      <c r="I86">
        <v>97</v>
      </c>
    </row>
    <row r="87" spans="1:9" x14ac:dyDescent="0.25">
      <c r="A87" t="s">
        <v>118</v>
      </c>
      <c r="B87" t="s">
        <v>19</v>
      </c>
      <c r="C87" t="s">
        <v>11</v>
      </c>
      <c r="D87" t="s">
        <v>29</v>
      </c>
      <c r="E87" t="s">
        <v>17</v>
      </c>
      <c r="F87">
        <v>9</v>
      </c>
      <c r="G87">
        <v>17799</v>
      </c>
      <c r="H87">
        <v>15</v>
      </c>
      <c r="I87">
        <v>52</v>
      </c>
    </row>
    <row r="88" spans="1:9" x14ac:dyDescent="0.25">
      <c r="A88" t="s">
        <v>119</v>
      </c>
      <c r="B88" t="s">
        <v>49</v>
      </c>
      <c r="C88" t="s">
        <v>11</v>
      </c>
      <c r="D88" t="s">
        <v>60</v>
      </c>
      <c r="E88" t="s">
        <v>17</v>
      </c>
      <c r="F88">
        <v>3</v>
      </c>
      <c r="G88">
        <v>15179</v>
      </c>
      <c r="H88">
        <v>7</v>
      </c>
      <c r="I88">
        <v>65</v>
      </c>
    </row>
    <row r="89" spans="1:9" x14ac:dyDescent="0.25">
      <c r="A89" t="s">
        <v>120</v>
      </c>
      <c r="B89" t="s">
        <v>22</v>
      </c>
      <c r="C89" t="s">
        <v>23</v>
      </c>
      <c r="D89" t="s">
        <v>31</v>
      </c>
      <c r="E89" t="s">
        <v>13</v>
      </c>
      <c r="F89">
        <v>28</v>
      </c>
      <c r="G89">
        <v>1152</v>
      </c>
      <c r="H89">
        <v>3</v>
      </c>
      <c r="I89">
        <v>66</v>
      </c>
    </row>
    <row r="90" spans="1:9" x14ac:dyDescent="0.25">
      <c r="A90" t="s">
        <v>121</v>
      </c>
      <c r="B90" t="s">
        <v>49</v>
      </c>
      <c r="C90" t="s">
        <v>26</v>
      </c>
      <c r="D90" t="s">
        <v>42</v>
      </c>
      <c r="E90" t="s">
        <v>13</v>
      </c>
      <c r="F90">
        <v>15</v>
      </c>
      <c r="G90">
        <v>2341</v>
      </c>
      <c r="H90">
        <v>6</v>
      </c>
      <c r="I90">
        <v>56</v>
      </c>
    </row>
    <row r="91" spans="1:9" x14ac:dyDescent="0.25">
      <c r="A91" t="s">
        <v>122</v>
      </c>
      <c r="B91" t="s">
        <v>19</v>
      </c>
      <c r="C91" t="s">
        <v>11</v>
      </c>
      <c r="D91" t="s">
        <v>27</v>
      </c>
      <c r="E91" t="s">
        <v>13</v>
      </c>
      <c r="F91">
        <v>49</v>
      </c>
      <c r="G91">
        <v>11498</v>
      </c>
      <c r="H91">
        <v>8</v>
      </c>
      <c r="I91">
        <v>54</v>
      </c>
    </row>
    <row r="92" spans="1:9" x14ac:dyDescent="0.25">
      <c r="A92" t="s">
        <v>123</v>
      </c>
      <c r="B92" t="s">
        <v>19</v>
      </c>
      <c r="C92" t="s">
        <v>40</v>
      </c>
      <c r="D92" t="s">
        <v>31</v>
      </c>
      <c r="E92" t="s">
        <v>13</v>
      </c>
      <c r="F92">
        <v>39</v>
      </c>
      <c r="G92">
        <v>1491</v>
      </c>
      <c r="H92">
        <v>5</v>
      </c>
      <c r="I92">
        <v>100</v>
      </c>
    </row>
    <row r="93" spans="1:9" x14ac:dyDescent="0.25">
      <c r="A93" t="s">
        <v>124</v>
      </c>
      <c r="B93" t="s">
        <v>15</v>
      </c>
      <c r="C93" t="s">
        <v>26</v>
      </c>
      <c r="D93" t="s">
        <v>20</v>
      </c>
      <c r="E93" t="s">
        <v>17</v>
      </c>
      <c r="F93">
        <v>48</v>
      </c>
      <c r="G93">
        <v>1564</v>
      </c>
      <c r="H93">
        <v>10</v>
      </c>
      <c r="I93">
        <v>91</v>
      </c>
    </row>
    <row r="94" spans="1:9" x14ac:dyDescent="0.25">
      <c r="A94" t="s">
        <v>125</v>
      </c>
      <c r="B94" t="s">
        <v>44</v>
      </c>
      <c r="C94" t="s">
        <v>11</v>
      </c>
      <c r="D94" t="s">
        <v>47</v>
      </c>
      <c r="E94" t="s">
        <v>13</v>
      </c>
      <c r="F94">
        <v>14</v>
      </c>
      <c r="G94">
        <v>12102</v>
      </c>
      <c r="H94">
        <v>10</v>
      </c>
      <c r="I94">
        <v>90</v>
      </c>
    </row>
    <row r="95" spans="1:9" x14ac:dyDescent="0.25">
      <c r="A95" t="s">
        <v>126</v>
      </c>
      <c r="B95" t="s">
        <v>49</v>
      </c>
      <c r="C95" t="s">
        <v>23</v>
      </c>
      <c r="D95" t="s">
        <v>42</v>
      </c>
      <c r="E95" t="s">
        <v>17</v>
      </c>
      <c r="F95">
        <v>67</v>
      </c>
      <c r="G95">
        <v>1532</v>
      </c>
      <c r="H95">
        <v>2</v>
      </c>
      <c r="I95">
        <v>89</v>
      </c>
    </row>
    <row r="96" spans="1:9" x14ac:dyDescent="0.25">
      <c r="A96" t="s">
        <v>127</v>
      </c>
      <c r="B96" t="s">
        <v>49</v>
      </c>
      <c r="C96" t="s">
        <v>23</v>
      </c>
      <c r="D96" t="s">
        <v>34</v>
      </c>
      <c r="E96" t="s">
        <v>17</v>
      </c>
      <c r="F96">
        <v>76</v>
      </c>
      <c r="G96">
        <v>749</v>
      </c>
      <c r="H96">
        <v>2</v>
      </c>
      <c r="I96">
        <v>65</v>
      </c>
    </row>
    <row r="97" spans="1:9" x14ac:dyDescent="0.25">
      <c r="A97" t="s">
        <v>128</v>
      </c>
      <c r="B97" t="s">
        <v>49</v>
      </c>
      <c r="C97" t="s">
        <v>11</v>
      </c>
      <c r="D97" t="s">
        <v>27</v>
      </c>
      <c r="E97" t="s">
        <v>13</v>
      </c>
      <c r="F97">
        <v>32</v>
      </c>
      <c r="G97">
        <v>17295</v>
      </c>
      <c r="H97">
        <v>12</v>
      </c>
      <c r="I97">
        <v>86</v>
      </c>
    </row>
    <row r="98" spans="1:9" x14ac:dyDescent="0.25">
      <c r="A98" t="s">
        <v>129</v>
      </c>
      <c r="B98" t="s">
        <v>19</v>
      </c>
      <c r="C98" t="s">
        <v>23</v>
      </c>
      <c r="D98" t="s">
        <v>29</v>
      </c>
      <c r="E98" t="s">
        <v>17</v>
      </c>
      <c r="F98">
        <v>42</v>
      </c>
      <c r="G98">
        <v>572</v>
      </c>
      <c r="H98">
        <v>2</v>
      </c>
      <c r="I98">
        <v>63</v>
      </c>
    </row>
    <row r="99" spans="1:9" x14ac:dyDescent="0.25">
      <c r="A99" t="s">
        <v>130</v>
      </c>
      <c r="B99" t="s">
        <v>44</v>
      </c>
      <c r="C99" t="s">
        <v>26</v>
      </c>
      <c r="D99" t="s">
        <v>29</v>
      </c>
      <c r="E99" t="s">
        <v>17</v>
      </c>
      <c r="F99">
        <v>77</v>
      </c>
      <c r="G99">
        <v>6744</v>
      </c>
      <c r="H99">
        <v>6</v>
      </c>
      <c r="I99">
        <v>85</v>
      </c>
    </row>
    <row r="100" spans="1:9" x14ac:dyDescent="0.25">
      <c r="A100" t="s">
        <v>131</v>
      </c>
      <c r="B100" t="s">
        <v>15</v>
      </c>
      <c r="C100" t="s">
        <v>40</v>
      </c>
      <c r="D100" t="s">
        <v>31</v>
      </c>
      <c r="E100" t="s">
        <v>17</v>
      </c>
      <c r="F100">
        <v>53</v>
      </c>
      <c r="G100">
        <v>4502</v>
      </c>
      <c r="H100">
        <v>5</v>
      </c>
      <c r="I100">
        <v>98</v>
      </c>
    </row>
    <row r="101" spans="1:9" x14ac:dyDescent="0.25">
      <c r="A101" t="s">
        <v>132</v>
      </c>
      <c r="B101" t="s">
        <v>22</v>
      </c>
      <c r="C101" t="s">
        <v>23</v>
      </c>
      <c r="D101" t="s">
        <v>34</v>
      </c>
      <c r="E101" t="s">
        <v>17</v>
      </c>
      <c r="F101">
        <v>3</v>
      </c>
      <c r="G101">
        <v>390</v>
      </c>
      <c r="H101">
        <v>2</v>
      </c>
      <c r="I101">
        <v>64</v>
      </c>
    </row>
    <row r="102" spans="1:9" x14ac:dyDescent="0.25">
      <c r="A102" t="s">
        <v>133</v>
      </c>
      <c r="B102" t="s">
        <v>25</v>
      </c>
      <c r="C102" t="s">
        <v>40</v>
      </c>
      <c r="D102" t="s">
        <v>27</v>
      </c>
      <c r="E102" t="s">
        <v>13</v>
      </c>
      <c r="F102">
        <v>48</v>
      </c>
      <c r="G102">
        <v>4376</v>
      </c>
      <c r="H102">
        <v>5</v>
      </c>
      <c r="I102">
        <v>83</v>
      </c>
    </row>
    <row r="103" spans="1:9" x14ac:dyDescent="0.25">
      <c r="A103" t="s">
        <v>134</v>
      </c>
      <c r="B103" t="s">
        <v>44</v>
      </c>
      <c r="C103" t="s">
        <v>23</v>
      </c>
      <c r="D103" t="s">
        <v>20</v>
      </c>
      <c r="E103" t="s">
        <v>17</v>
      </c>
      <c r="F103">
        <v>90</v>
      </c>
      <c r="G103">
        <v>1129</v>
      </c>
      <c r="H103">
        <v>2</v>
      </c>
      <c r="I103">
        <v>69</v>
      </c>
    </row>
    <row r="104" spans="1:9" x14ac:dyDescent="0.25">
      <c r="A104" t="s">
        <v>135</v>
      </c>
      <c r="B104" t="s">
        <v>44</v>
      </c>
      <c r="C104" t="s">
        <v>40</v>
      </c>
      <c r="D104" t="s">
        <v>31</v>
      </c>
      <c r="E104" t="s">
        <v>13</v>
      </c>
      <c r="F104">
        <v>41</v>
      </c>
      <c r="G104">
        <v>1479</v>
      </c>
      <c r="H104">
        <v>5</v>
      </c>
      <c r="I104">
        <v>98</v>
      </c>
    </row>
    <row r="105" spans="1:9" x14ac:dyDescent="0.25">
      <c r="A105" t="s">
        <v>136</v>
      </c>
      <c r="B105" t="s">
        <v>10</v>
      </c>
      <c r="C105" t="s">
        <v>40</v>
      </c>
      <c r="D105" t="s">
        <v>60</v>
      </c>
      <c r="E105" t="s">
        <v>17</v>
      </c>
      <c r="F105">
        <v>62</v>
      </c>
      <c r="G105">
        <v>2765</v>
      </c>
      <c r="H105">
        <v>5</v>
      </c>
      <c r="I105">
        <v>98</v>
      </c>
    </row>
    <row r="106" spans="1:9" x14ac:dyDescent="0.25">
      <c r="A106" t="s">
        <v>137</v>
      </c>
      <c r="B106" t="s">
        <v>19</v>
      </c>
      <c r="C106" t="s">
        <v>26</v>
      </c>
      <c r="D106" t="s">
        <v>31</v>
      </c>
      <c r="E106" t="s">
        <v>13</v>
      </c>
      <c r="F106">
        <v>38</v>
      </c>
      <c r="G106">
        <v>2863</v>
      </c>
      <c r="H106">
        <v>7</v>
      </c>
      <c r="I106">
        <v>61</v>
      </c>
    </row>
    <row r="107" spans="1:9" x14ac:dyDescent="0.25">
      <c r="A107" t="s">
        <v>138</v>
      </c>
      <c r="B107" t="s">
        <v>44</v>
      </c>
      <c r="C107" t="s">
        <v>11</v>
      </c>
      <c r="D107" t="s">
        <v>20</v>
      </c>
      <c r="E107" t="s">
        <v>17</v>
      </c>
      <c r="F107">
        <v>6</v>
      </c>
      <c r="G107">
        <v>5893</v>
      </c>
      <c r="H107">
        <v>13</v>
      </c>
      <c r="I107">
        <v>68</v>
      </c>
    </row>
    <row r="108" spans="1:9" x14ac:dyDescent="0.25">
      <c r="A108" t="s">
        <v>139</v>
      </c>
      <c r="B108" t="s">
        <v>10</v>
      </c>
      <c r="C108" t="s">
        <v>40</v>
      </c>
      <c r="D108" t="s">
        <v>34</v>
      </c>
      <c r="E108" t="s">
        <v>17</v>
      </c>
      <c r="F108">
        <v>2</v>
      </c>
      <c r="G108">
        <v>2829</v>
      </c>
      <c r="H108">
        <v>4</v>
      </c>
      <c r="I108">
        <v>80</v>
      </c>
    </row>
    <row r="109" spans="1:9" x14ac:dyDescent="0.25">
      <c r="A109" t="s">
        <v>140</v>
      </c>
      <c r="B109" t="s">
        <v>25</v>
      </c>
      <c r="C109" t="s">
        <v>26</v>
      </c>
      <c r="D109" t="s">
        <v>42</v>
      </c>
      <c r="E109" t="s">
        <v>13</v>
      </c>
      <c r="F109">
        <v>33</v>
      </c>
      <c r="G109">
        <v>4913</v>
      </c>
      <c r="H109">
        <v>3</v>
      </c>
      <c r="I109">
        <v>54</v>
      </c>
    </row>
    <row r="110" spans="1:9" x14ac:dyDescent="0.25">
      <c r="A110" t="s">
        <v>141</v>
      </c>
      <c r="B110" t="s">
        <v>25</v>
      </c>
      <c r="C110" t="s">
        <v>23</v>
      </c>
      <c r="D110" t="s">
        <v>31</v>
      </c>
      <c r="E110" t="s">
        <v>13</v>
      </c>
      <c r="F110">
        <v>88</v>
      </c>
      <c r="G110">
        <v>309</v>
      </c>
      <c r="H110">
        <v>1</v>
      </c>
      <c r="I110">
        <v>59</v>
      </c>
    </row>
    <row r="111" spans="1:9" x14ac:dyDescent="0.25">
      <c r="A111" t="s">
        <v>142</v>
      </c>
      <c r="B111" t="s">
        <v>49</v>
      </c>
      <c r="C111" t="s">
        <v>26</v>
      </c>
      <c r="D111" t="s">
        <v>31</v>
      </c>
      <c r="E111" t="s">
        <v>37</v>
      </c>
      <c r="F111">
        <v>16</v>
      </c>
      <c r="G111">
        <v>5571</v>
      </c>
      <c r="H111">
        <v>8</v>
      </c>
      <c r="I111">
        <v>88</v>
      </c>
    </row>
    <row r="112" spans="1:9" x14ac:dyDescent="0.25">
      <c r="A112" t="s">
        <v>143</v>
      </c>
      <c r="B112" t="s">
        <v>19</v>
      </c>
      <c r="C112" t="s">
        <v>40</v>
      </c>
      <c r="D112" t="s">
        <v>20</v>
      </c>
      <c r="E112" t="s">
        <v>17</v>
      </c>
      <c r="F112">
        <v>57</v>
      </c>
      <c r="G112">
        <v>2935</v>
      </c>
      <c r="H112">
        <v>5</v>
      </c>
      <c r="I112">
        <v>77</v>
      </c>
    </row>
    <row r="113" spans="1:9" x14ac:dyDescent="0.25">
      <c r="A113" t="s">
        <v>144</v>
      </c>
      <c r="B113" t="s">
        <v>44</v>
      </c>
      <c r="C113" t="s">
        <v>11</v>
      </c>
      <c r="D113" t="s">
        <v>16</v>
      </c>
      <c r="E113" t="s">
        <v>13</v>
      </c>
      <c r="F113">
        <v>13</v>
      </c>
      <c r="G113">
        <v>17496</v>
      </c>
      <c r="H113">
        <v>8</v>
      </c>
      <c r="I113">
        <v>90</v>
      </c>
    </row>
    <row r="114" spans="1:9" x14ac:dyDescent="0.25">
      <c r="A114" t="s">
        <v>145</v>
      </c>
      <c r="B114" t="s">
        <v>22</v>
      </c>
      <c r="C114" t="s">
        <v>26</v>
      </c>
      <c r="D114" t="s">
        <v>31</v>
      </c>
      <c r="E114" t="s">
        <v>17</v>
      </c>
      <c r="F114">
        <v>23</v>
      </c>
      <c r="G114">
        <v>5521</v>
      </c>
      <c r="H114">
        <v>3</v>
      </c>
      <c r="I114">
        <v>60</v>
      </c>
    </row>
    <row r="115" spans="1:9" x14ac:dyDescent="0.25">
      <c r="A115" t="s">
        <v>146</v>
      </c>
      <c r="B115" t="s">
        <v>15</v>
      </c>
      <c r="C115" t="s">
        <v>23</v>
      </c>
      <c r="D115" t="s">
        <v>34</v>
      </c>
      <c r="E115" t="s">
        <v>13</v>
      </c>
      <c r="F115">
        <v>61</v>
      </c>
      <c r="G115">
        <v>796</v>
      </c>
      <c r="H115">
        <v>1</v>
      </c>
      <c r="I115">
        <v>64</v>
      </c>
    </row>
    <row r="116" spans="1:9" x14ac:dyDescent="0.25">
      <c r="A116" t="s">
        <v>147</v>
      </c>
      <c r="B116" t="s">
        <v>44</v>
      </c>
      <c r="C116" t="s">
        <v>26</v>
      </c>
      <c r="D116" t="s">
        <v>34</v>
      </c>
      <c r="E116" t="s">
        <v>17</v>
      </c>
      <c r="F116">
        <v>30</v>
      </c>
      <c r="G116">
        <v>3167</v>
      </c>
      <c r="H116">
        <v>5</v>
      </c>
      <c r="I116">
        <v>77</v>
      </c>
    </row>
    <row r="117" spans="1:9" x14ac:dyDescent="0.25">
      <c r="A117" t="s">
        <v>148</v>
      </c>
      <c r="B117" t="s">
        <v>15</v>
      </c>
      <c r="C117" t="s">
        <v>40</v>
      </c>
      <c r="D117" t="s">
        <v>42</v>
      </c>
      <c r="E117" t="s">
        <v>13</v>
      </c>
      <c r="F117">
        <v>19</v>
      </c>
      <c r="G117">
        <v>1084</v>
      </c>
      <c r="H117">
        <v>1</v>
      </c>
      <c r="I117">
        <v>60</v>
      </c>
    </row>
    <row r="118" spans="1:9" x14ac:dyDescent="0.25">
      <c r="A118" t="s">
        <v>149</v>
      </c>
      <c r="B118" t="s">
        <v>49</v>
      </c>
      <c r="C118" t="s">
        <v>26</v>
      </c>
      <c r="D118" t="s">
        <v>16</v>
      </c>
      <c r="E118" t="s">
        <v>13</v>
      </c>
      <c r="F118">
        <v>73</v>
      </c>
      <c r="G118">
        <v>3364</v>
      </c>
      <c r="H118">
        <v>9</v>
      </c>
      <c r="I118">
        <v>57</v>
      </c>
    </row>
    <row r="119" spans="1:9" x14ac:dyDescent="0.25">
      <c r="A119" t="s">
        <v>150</v>
      </c>
      <c r="B119" t="s">
        <v>25</v>
      </c>
      <c r="C119" t="s">
        <v>26</v>
      </c>
      <c r="D119" t="s">
        <v>47</v>
      </c>
      <c r="E119" t="s">
        <v>13</v>
      </c>
      <c r="F119">
        <v>65</v>
      </c>
      <c r="G119">
        <v>5423</v>
      </c>
      <c r="H119">
        <v>9</v>
      </c>
      <c r="I119">
        <v>78</v>
      </c>
    </row>
    <row r="120" spans="1:9" x14ac:dyDescent="0.25">
      <c r="A120" t="s">
        <v>151</v>
      </c>
      <c r="B120" t="s">
        <v>15</v>
      </c>
      <c r="C120" t="s">
        <v>11</v>
      </c>
      <c r="D120" t="s">
        <v>47</v>
      </c>
      <c r="E120" t="s">
        <v>13</v>
      </c>
      <c r="F120">
        <v>78</v>
      </c>
      <c r="G120">
        <v>9102</v>
      </c>
      <c r="H120">
        <v>5</v>
      </c>
      <c r="I120">
        <v>55</v>
      </c>
    </row>
    <row r="121" spans="1:9" x14ac:dyDescent="0.25">
      <c r="A121" t="s">
        <v>152</v>
      </c>
      <c r="B121" t="s">
        <v>22</v>
      </c>
      <c r="C121" t="s">
        <v>11</v>
      </c>
      <c r="D121" t="s">
        <v>27</v>
      </c>
      <c r="E121" t="s">
        <v>13</v>
      </c>
      <c r="F121">
        <v>23</v>
      </c>
      <c r="G121">
        <v>12708</v>
      </c>
      <c r="H121">
        <v>13</v>
      </c>
      <c r="I121">
        <v>91</v>
      </c>
    </row>
    <row r="122" spans="1:9" x14ac:dyDescent="0.25">
      <c r="A122" t="s">
        <v>153</v>
      </c>
      <c r="B122" t="s">
        <v>25</v>
      </c>
      <c r="C122" t="s">
        <v>26</v>
      </c>
      <c r="D122" t="s">
        <v>42</v>
      </c>
      <c r="E122" t="s">
        <v>37</v>
      </c>
      <c r="F122">
        <v>56</v>
      </c>
      <c r="G122">
        <v>6200</v>
      </c>
      <c r="H122">
        <v>9</v>
      </c>
      <c r="I122">
        <v>55</v>
      </c>
    </row>
    <row r="123" spans="1:9" x14ac:dyDescent="0.25">
      <c r="A123" t="s">
        <v>154</v>
      </c>
      <c r="B123" t="s">
        <v>25</v>
      </c>
      <c r="C123" t="s">
        <v>26</v>
      </c>
      <c r="D123" t="s">
        <v>47</v>
      </c>
      <c r="E123" t="s">
        <v>17</v>
      </c>
      <c r="F123">
        <v>86</v>
      </c>
      <c r="G123">
        <v>1856</v>
      </c>
      <c r="H123">
        <v>4</v>
      </c>
      <c r="I123">
        <v>71</v>
      </c>
    </row>
    <row r="124" spans="1:9" x14ac:dyDescent="0.25">
      <c r="A124" t="s">
        <v>155</v>
      </c>
      <c r="B124" t="s">
        <v>25</v>
      </c>
      <c r="C124" t="s">
        <v>23</v>
      </c>
      <c r="D124" t="s">
        <v>27</v>
      </c>
      <c r="E124" t="s">
        <v>13</v>
      </c>
      <c r="F124">
        <v>52</v>
      </c>
      <c r="G124">
        <v>1866</v>
      </c>
      <c r="H124">
        <v>3</v>
      </c>
      <c r="I124">
        <v>52</v>
      </c>
    </row>
    <row r="125" spans="1:9" x14ac:dyDescent="0.25">
      <c r="A125" t="s">
        <v>156</v>
      </c>
      <c r="B125" t="s">
        <v>25</v>
      </c>
      <c r="C125" t="s">
        <v>11</v>
      </c>
      <c r="D125" t="s">
        <v>29</v>
      </c>
      <c r="E125" t="s">
        <v>17</v>
      </c>
      <c r="F125">
        <v>15</v>
      </c>
      <c r="G125">
        <v>17657</v>
      </c>
      <c r="H125">
        <v>11</v>
      </c>
      <c r="I125">
        <v>82</v>
      </c>
    </row>
    <row r="126" spans="1:9" x14ac:dyDescent="0.25">
      <c r="A126" t="s">
        <v>157</v>
      </c>
      <c r="B126" t="s">
        <v>49</v>
      </c>
      <c r="C126" t="s">
        <v>11</v>
      </c>
      <c r="D126" t="s">
        <v>20</v>
      </c>
      <c r="E126" t="s">
        <v>17</v>
      </c>
      <c r="F126">
        <v>7</v>
      </c>
      <c r="G126">
        <v>8073</v>
      </c>
      <c r="H126">
        <v>13</v>
      </c>
      <c r="I126">
        <v>73</v>
      </c>
    </row>
    <row r="127" spans="1:9" x14ac:dyDescent="0.25">
      <c r="A127" t="s">
        <v>158</v>
      </c>
      <c r="B127" t="s">
        <v>19</v>
      </c>
      <c r="C127" t="s">
        <v>23</v>
      </c>
      <c r="D127" t="s">
        <v>34</v>
      </c>
      <c r="E127" t="s">
        <v>13</v>
      </c>
      <c r="F127">
        <v>27</v>
      </c>
      <c r="G127">
        <v>746</v>
      </c>
      <c r="H127">
        <v>3</v>
      </c>
      <c r="I127">
        <v>58</v>
      </c>
    </row>
    <row r="128" spans="1:9" x14ac:dyDescent="0.25">
      <c r="A128" t="s">
        <v>159</v>
      </c>
      <c r="B128" t="s">
        <v>44</v>
      </c>
      <c r="C128" t="s">
        <v>23</v>
      </c>
      <c r="D128" t="s">
        <v>34</v>
      </c>
      <c r="E128" t="s">
        <v>17</v>
      </c>
      <c r="F128">
        <v>81</v>
      </c>
      <c r="G128">
        <v>1446</v>
      </c>
      <c r="H128">
        <v>1</v>
      </c>
      <c r="I128">
        <v>95</v>
      </c>
    </row>
    <row r="129" spans="1:9" x14ac:dyDescent="0.25">
      <c r="A129" t="s">
        <v>160</v>
      </c>
      <c r="B129" t="s">
        <v>22</v>
      </c>
      <c r="C129" t="s">
        <v>26</v>
      </c>
      <c r="D129" t="s">
        <v>20</v>
      </c>
      <c r="E129" t="s">
        <v>17</v>
      </c>
      <c r="F129">
        <v>53</v>
      </c>
      <c r="G129">
        <v>1763</v>
      </c>
      <c r="H129">
        <v>5</v>
      </c>
      <c r="I129">
        <v>57</v>
      </c>
    </row>
    <row r="130" spans="1:9" x14ac:dyDescent="0.25">
      <c r="A130" t="s">
        <v>161</v>
      </c>
      <c r="B130" t="s">
        <v>25</v>
      </c>
      <c r="C130" t="s">
        <v>11</v>
      </c>
      <c r="D130" t="s">
        <v>42</v>
      </c>
      <c r="E130" t="s">
        <v>13</v>
      </c>
      <c r="F130">
        <v>38</v>
      </c>
      <c r="G130">
        <v>13337</v>
      </c>
      <c r="H130">
        <v>9</v>
      </c>
      <c r="I130">
        <v>76</v>
      </c>
    </row>
    <row r="131" spans="1:9" x14ac:dyDescent="0.25">
      <c r="A131" t="s">
        <v>162</v>
      </c>
      <c r="B131" t="s">
        <v>49</v>
      </c>
      <c r="C131" t="s">
        <v>23</v>
      </c>
      <c r="D131" t="s">
        <v>34</v>
      </c>
      <c r="E131" t="s">
        <v>17</v>
      </c>
      <c r="F131">
        <v>71</v>
      </c>
      <c r="G131">
        <v>496</v>
      </c>
      <c r="H131">
        <v>2</v>
      </c>
      <c r="I131">
        <v>62</v>
      </c>
    </row>
    <row r="132" spans="1:9" x14ac:dyDescent="0.25">
      <c r="A132" t="s">
        <v>163</v>
      </c>
      <c r="B132" t="s">
        <v>19</v>
      </c>
      <c r="C132" t="s">
        <v>40</v>
      </c>
      <c r="D132" t="s">
        <v>31</v>
      </c>
      <c r="E132" t="s">
        <v>17</v>
      </c>
      <c r="F132">
        <v>54</v>
      </c>
      <c r="G132">
        <v>3284</v>
      </c>
      <c r="H132">
        <v>5</v>
      </c>
      <c r="I132">
        <v>67</v>
      </c>
    </row>
    <row r="133" spans="1:9" x14ac:dyDescent="0.25">
      <c r="A133" t="s">
        <v>164</v>
      </c>
      <c r="B133" t="s">
        <v>49</v>
      </c>
      <c r="C133" t="s">
        <v>11</v>
      </c>
      <c r="D133" t="s">
        <v>27</v>
      </c>
      <c r="E133" t="s">
        <v>13</v>
      </c>
      <c r="F133">
        <v>76</v>
      </c>
      <c r="G133">
        <v>14501</v>
      </c>
      <c r="H133">
        <v>15</v>
      </c>
      <c r="I133">
        <v>81</v>
      </c>
    </row>
    <row r="134" spans="1:9" x14ac:dyDescent="0.25">
      <c r="A134" t="s">
        <v>165</v>
      </c>
      <c r="B134" t="s">
        <v>49</v>
      </c>
      <c r="C134" t="s">
        <v>40</v>
      </c>
      <c r="D134" t="s">
        <v>34</v>
      </c>
      <c r="E134" t="s">
        <v>13</v>
      </c>
      <c r="F134">
        <v>45</v>
      </c>
      <c r="G134">
        <v>3223</v>
      </c>
      <c r="H134">
        <v>5</v>
      </c>
      <c r="I134">
        <v>98</v>
      </c>
    </row>
    <row r="135" spans="1:9" x14ac:dyDescent="0.25">
      <c r="A135" t="s">
        <v>166</v>
      </c>
      <c r="B135" t="s">
        <v>19</v>
      </c>
      <c r="C135" t="s">
        <v>23</v>
      </c>
      <c r="D135" t="s">
        <v>34</v>
      </c>
      <c r="E135" t="s">
        <v>13</v>
      </c>
      <c r="F135">
        <v>25</v>
      </c>
      <c r="G135">
        <v>1628</v>
      </c>
      <c r="H135">
        <v>1</v>
      </c>
      <c r="I135">
        <v>86</v>
      </c>
    </row>
    <row r="136" spans="1:9" x14ac:dyDescent="0.25">
      <c r="A136" t="s">
        <v>167</v>
      </c>
      <c r="B136" t="s">
        <v>25</v>
      </c>
      <c r="C136" t="s">
        <v>40</v>
      </c>
      <c r="D136" t="s">
        <v>47</v>
      </c>
      <c r="E136" t="s">
        <v>17</v>
      </c>
      <c r="F136">
        <v>61</v>
      </c>
      <c r="G136">
        <v>3623</v>
      </c>
      <c r="H136">
        <v>4</v>
      </c>
      <c r="I136">
        <v>92</v>
      </c>
    </row>
    <row r="137" spans="1:9" x14ac:dyDescent="0.25">
      <c r="A137" t="s">
        <v>168</v>
      </c>
      <c r="B137" t="s">
        <v>49</v>
      </c>
      <c r="C137" t="s">
        <v>40</v>
      </c>
      <c r="D137" t="s">
        <v>34</v>
      </c>
      <c r="E137" t="s">
        <v>13</v>
      </c>
      <c r="F137">
        <v>17</v>
      </c>
      <c r="G137">
        <v>4614</v>
      </c>
      <c r="H137">
        <v>5</v>
      </c>
      <c r="I137">
        <v>71</v>
      </c>
    </row>
    <row r="138" spans="1:9" x14ac:dyDescent="0.25">
      <c r="A138" t="s">
        <v>169</v>
      </c>
      <c r="B138" t="s">
        <v>49</v>
      </c>
      <c r="C138" t="s">
        <v>11</v>
      </c>
      <c r="D138" t="s">
        <v>34</v>
      </c>
      <c r="E138" t="s">
        <v>17</v>
      </c>
      <c r="F138">
        <v>59</v>
      </c>
      <c r="G138">
        <v>5251</v>
      </c>
      <c r="H138">
        <v>7</v>
      </c>
      <c r="I138">
        <v>76</v>
      </c>
    </row>
    <row r="139" spans="1:9" x14ac:dyDescent="0.25">
      <c r="A139" t="s">
        <v>170</v>
      </c>
      <c r="B139" t="s">
        <v>49</v>
      </c>
      <c r="C139" t="s">
        <v>40</v>
      </c>
      <c r="D139" t="s">
        <v>31</v>
      </c>
      <c r="E139" t="s">
        <v>17</v>
      </c>
      <c r="F139">
        <v>34</v>
      </c>
      <c r="G139">
        <v>3273</v>
      </c>
      <c r="H139">
        <v>5</v>
      </c>
      <c r="I139">
        <v>94</v>
      </c>
    </row>
    <row r="140" spans="1:9" x14ac:dyDescent="0.25">
      <c r="A140" t="s">
        <v>171</v>
      </c>
      <c r="B140" t="s">
        <v>25</v>
      </c>
      <c r="C140" t="s">
        <v>11</v>
      </c>
      <c r="D140" t="s">
        <v>29</v>
      </c>
      <c r="E140" t="s">
        <v>13</v>
      </c>
      <c r="F140">
        <v>69</v>
      </c>
      <c r="G140">
        <v>11226</v>
      </c>
      <c r="H140">
        <v>10</v>
      </c>
      <c r="I140">
        <v>90</v>
      </c>
    </row>
    <row r="141" spans="1:9" x14ac:dyDescent="0.25">
      <c r="A141" t="s">
        <v>172</v>
      </c>
      <c r="B141" t="s">
        <v>10</v>
      </c>
      <c r="C141" t="s">
        <v>23</v>
      </c>
      <c r="D141" t="s">
        <v>20</v>
      </c>
      <c r="E141" t="s">
        <v>17</v>
      </c>
      <c r="F141">
        <v>9</v>
      </c>
      <c r="G141">
        <v>680</v>
      </c>
      <c r="H141">
        <v>3</v>
      </c>
      <c r="I141">
        <v>93</v>
      </c>
    </row>
    <row r="142" spans="1:9" x14ac:dyDescent="0.25">
      <c r="A142" t="s">
        <v>173</v>
      </c>
      <c r="B142" t="s">
        <v>44</v>
      </c>
      <c r="C142" t="s">
        <v>40</v>
      </c>
      <c r="D142" t="s">
        <v>31</v>
      </c>
      <c r="E142" t="s">
        <v>17</v>
      </c>
      <c r="F142">
        <v>13</v>
      </c>
      <c r="G142">
        <v>1323</v>
      </c>
      <c r="H142">
        <v>4</v>
      </c>
      <c r="I142">
        <v>60</v>
      </c>
    </row>
    <row r="143" spans="1:9" x14ac:dyDescent="0.25">
      <c r="A143" t="s">
        <v>174</v>
      </c>
      <c r="B143" t="s">
        <v>10</v>
      </c>
      <c r="C143" t="s">
        <v>26</v>
      </c>
      <c r="D143" t="s">
        <v>12</v>
      </c>
      <c r="E143" t="s">
        <v>17</v>
      </c>
      <c r="F143">
        <v>8</v>
      </c>
      <c r="G143">
        <v>3403</v>
      </c>
      <c r="H143">
        <v>7</v>
      </c>
      <c r="I143">
        <v>73</v>
      </c>
    </row>
    <row r="144" spans="1:9" x14ac:dyDescent="0.25">
      <c r="A144" t="s">
        <v>175</v>
      </c>
      <c r="B144" t="s">
        <v>25</v>
      </c>
      <c r="C144" t="s">
        <v>40</v>
      </c>
      <c r="D144" t="s">
        <v>60</v>
      </c>
      <c r="E144" t="s">
        <v>13</v>
      </c>
      <c r="F144">
        <v>73</v>
      </c>
      <c r="G144">
        <v>1975</v>
      </c>
      <c r="H144">
        <v>2</v>
      </c>
      <c r="I144">
        <v>61</v>
      </c>
    </row>
    <row r="145" spans="1:9" x14ac:dyDescent="0.25">
      <c r="A145" t="s">
        <v>176</v>
      </c>
      <c r="B145" t="s">
        <v>15</v>
      </c>
      <c r="C145" t="s">
        <v>23</v>
      </c>
      <c r="D145" t="s">
        <v>16</v>
      </c>
      <c r="E145" t="s">
        <v>13</v>
      </c>
      <c r="F145">
        <v>64</v>
      </c>
      <c r="G145">
        <v>1394</v>
      </c>
      <c r="H145">
        <v>1</v>
      </c>
      <c r="I145">
        <v>64</v>
      </c>
    </row>
    <row r="146" spans="1:9" x14ac:dyDescent="0.25">
      <c r="A146" t="s">
        <v>177</v>
      </c>
      <c r="B146" t="s">
        <v>25</v>
      </c>
      <c r="C146" t="s">
        <v>26</v>
      </c>
      <c r="D146" t="s">
        <v>34</v>
      </c>
      <c r="E146" t="s">
        <v>17</v>
      </c>
      <c r="F146">
        <v>2</v>
      </c>
      <c r="G146">
        <v>4811</v>
      </c>
      <c r="H146">
        <v>6</v>
      </c>
      <c r="I146">
        <v>93</v>
      </c>
    </row>
    <row r="147" spans="1:9" x14ac:dyDescent="0.25">
      <c r="A147" t="s">
        <v>178</v>
      </c>
      <c r="B147" t="s">
        <v>19</v>
      </c>
      <c r="C147" t="s">
        <v>40</v>
      </c>
      <c r="D147" t="s">
        <v>31</v>
      </c>
      <c r="E147" t="s">
        <v>17</v>
      </c>
      <c r="F147">
        <v>45</v>
      </c>
      <c r="G147">
        <v>2950</v>
      </c>
      <c r="H147">
        <v>4</v>
      </c>
      <c r="I147">
        <v>94</v>
      </c>
    </row>
    <row r="148" spans="1:9" x14ac:dyDescent="0.25">
      <c r="A148" t="s">
        <v>179</v>
      </c>
      <c r="B148" t="s">
        <v>44</v>
      </c>
      <c r="C148" t="s">
        <v>23</v>
      </c>
      <c r="D148" t="s">
        <v>27</v>
      </c>
      <c r="E148" t="s">
        <v>17</v>
      </c>
      <c r="F148">
        <v>50</v>
      </c>
      <c r="G148">
        <v>1947</v>
      </c>
      <c r="H148">
        <v>2</v>
      </c>
      <c r="I148">
        <v>56</v>
      </c>
    </row>
    <row r="149" spans="1:9" x14ac:dyDescent="0.25">
      <c r="A149" t="s">
        <v>180</v>
      </c>
      <c r="B149" t="s">
        <v>22</v>
      </c>
      <c r="C149" t="s">
        <v>23</v>
      </c>
      <c r="D149" t="s">
        <v>16</v>
      </c>
      <c r="E149" t="s">
        <v>17</v>
      </c>
      <c r="F149">
        <v>38</v>
      </c>
      <c r="G149">
        <v>1632</v>
      </c>
      <c r="H149">
        <v>2</v>
      </c>
      <c r="I149">
        <v>51</v>
      </c>
    </row>
    <row r="150" spans="1:9" x14ac:dyDescent="0.25">
      <c r="A150" t="s">
        <v>181</v>
      </c>
      <c r="B150" t="s">
        <v>49</v>
      </c>
      <c r="C150" t="s">
        <v>23</v>
      </c>
      <c r="D150" t="s">
        <v>27</v>
      </c>
      <c r="E150" t="s">
        <v>17</v>
      </c>
      <c r="F150">
        <v>88</v>
      </c>
      <c r="G150">
        <v>1793</v>
      </c>
      <c r="H150">
        <v>3</v>
      </c>
      <c r="I150">
        <v>53</v>
      </c>
    </row>
    <row r="151" spans="1:9" x14ac:dyDescent="0.25">
      <c r="A151" t="s">
        <v>182</v>
      </c>
      <c r="B151" t="s">
        <v>19</v>
      </c>
      <c r="C151" t="s">
        <v>23</v>
      </c>
      <c r="D151" t="s">
        <v>27</v>
      </c>
      <c r="E151" t="s">
        <v>13</v>
      </c>
      <c r="F151">
        <v>30</v>
      </c>
      <c r="G151">
        <v>1443</v>
      </c>
      <c r="H151">
        <v>2</v>
      </c>
      <c r="I151">
        <v>64</v>
      </c>
    </row>
    <row r="152" spans="1:9" x14ac:dyDescent="0.25">
      <c r="A152" t="s">
        <v>183</v>
      </c>
      <c r="B152" t="s">
        <v>10</v>
      </c>
      <c r="C152" t="s">
        <v>40</v>
      </c>
      <c r="D152" t="s">
        <v>16</v>
      </c>
      <c r="E152" t="s">
        <v>17</v>
      </c>
      <c r="F152">
        <v>85</v>
      </c>
      <c r="G152">
        <v>1620</v>
      </c>
      <c r="H152">
        <v>1</v>
      </c>
      <c r="I152">
        <v>90</v>
      </c>
    </row>
    <row r="153" spans="1:9" x14ac:dyDescent="0.25">
      <c r="A153" t="s">
        <v>184</v>
      </c>
      <c r="B153" t="s">
        <v>10</v>
      </c>
      <c r="C153" t="s">
        <v>11</v>
      </c>
      <c r="D153" t="s">
        <v>27</v>
      </c>
      <c r="E153" t="s">
        <v>13</v>
      </c>
      <c r="F153">
        <v>5</v>
      </c>
      <c r="G153">
        <v>14495</v>
      </c>
      <c r="H153">
        <v>10</v>
      </c>
      <c r="I153">
        <v>96</v>
      </c>
    </row>
    <row r="154" spans="1:9" x14ac:dyDescent="0.25">
      <c r="A154" t="s">
        <v>185</v>
      </c>
      <c r="B154" t="s">
        <v>22</v>
      </c>
      <c r="C154" t="s">
        <v>11</v>
      </c>
      <c r="D154" t="s">
        <v>27</v>
      </c>
      <c r="E154" t="s">
        <v>17</v>
      </c>
      <c r="F154">
        <v>54</v>
      </c>
      <c r="G154">
        <v>7877</v>
      </c>
      <c r="H154">
        <v>8</v>
      </c>
      <c r="I154">
        <v>58</v>
      </c>
    </row>
    <row r="155" spans="1:9" x14ac:dyDescent="0.25">
      <c r="A155" t="s">
        <v>186</v>
      </c>
      <c r="B155" t="s">
        <v>49</v>
      </c>
      <c r="C155" t="s">
        <v>26</v>
      </c>
      <c r="D155" t="s">
        <v>20</v>
      </c>
      <c r="E155" t="s">
        <v>13</v>
      </c>
      <c r="F155">
        <v>35</v>
      </c>
      <c r="G155">
        <v>2347</v>
      </c>
      <c r="H155">
        <v>6</v>
      </c>
      <c r="I155">
        <v>80</v>
      </c>
    </row>
    <row r="156" spans="1:9" x14ac:dyDescent="0.25">
      <c r="A156" t="s">
        <v>187</v>
      </c>
      <c r="B156" t="s">
        <v>49</v>
      </c>
      <c r="C156" t="s">
        <v>26</v>
      </c>
      <c r="D156" t="s">
        <v>29</v>
      </c>
      <c r="E156" t="s">
        <v>13</v>
      </c>
      <c r="F156">
        <v>60</v>
      </c>
      <c r="G156">
        <v>1616</v>
      </c>
      <c r="H156">
        <v>4</v>
      </c>
      <c r="I156">
        <v>98</v>
      </c>
    </row>
    <row r="157" spans="1:9" x14ac:dyDescent="0.25">
      <c r="A157" t="s">
        <v>188</v>
      </c>
      <c r="B157" t="s">
        <v>22</v>
      </c>
      <c r="C157" t="s">
        <v>23</v>
      </c>
      <c r="D157" t="s">
        <v>20</v>
      </c>
      <c r="E157" t="s">
        <v>17</v>
      </c>
      <c r="F157">
        <v>51</v>
      </c>
      <c r="G157">
        <v>228</v>
      </c>
      <c r="H157">
        <v>2</v>
      </c>
      <c r="I157">
        <v>84</v>
      </c>
    </row>
    <row r="158" spans="1:9" x14ac:dyDescent="0.25">
      <c r="A158" t="s">
        <v>189</v>
      </c>
      <c r="B158" t="s">
        <v>15</v>
      </c>
      <c r="C158" t="s">
        <v>23</v>
      </c>
      <c r="D158" t="s">
        <v>29</v>
      </c>
      <c r="E158" t="s">
        <v>13</v>
      </c>
      <c r="F158">
        <v>87</v>
      </c>
      <c r="G158">
        <v>736</v>
      </c>
      <c r="H158">
        <v>3</v>
      </c>
      <c r="I158">
        <v>74</v>
      </c>
    </row>
    <row r="159" spans="1:9" x14ac:dyDescent="0.25">
      <c r="A159" t="s">
        <v>190</v>
      </c>
      <c r="B159" t="s">
        <v>49</v>
      </c>
      <c r="C159" t="s">
        <v>26</v>
      </c>
      <c r="D159" t="s">
        <v>31</v>
      </c>
      <c r="E159" t="s">
        <v>13</v>
      </c>
      <c r="F159">
        <v>61</v>
      </c>
      <c r="G159">
        <v>1205</v>
      </c>
      <c r="H159">
        <v>10</v>
      </c>
      <c r="I159">
        <v>70</v>
      </c>
    </row>
    <row r="160" spans="1:9" x14ac:dyDescent="0.25">
      <c r="A160" t="s">
        <v>191</v>
      </c>
      <c r="B160" t="s">
        <v>19</v>
      </c>
      <c r="C160" t="s">
        <v>40</v>
      </c>
      <c r="D160" t="s">
        <v>31</v>
      </c>
      <c r="E160" t="s">
        <v>13</v>
      </c>
      <c r="F160">
        <v>60</v>
      </c>
      <c r="G160">
        <v>2975</v>
      </c>
      <c r="H160">
        <v>4</v>
      </c>
      <c r="I160">
        <v>57</v>
      </c>
    </row>
    <row r="161" spans="1:9" x14ac:dyDescent="0.25">
      <c r="A161" t="s">
        <v>192</v>
      </c>
      <c r="B161" t="s">
        <v>22</v>
      </c>
      <c r="C161" t="s">
        <v>11</v>
      </c>
      <c r="D161" t="s">
        <v>12</v>
      </c>
      <c r="E161" t="s">
        <v>17</v>
      </c>
      <c r="F161">
        <v>64</v>
      </c>
      <c r="G161">
        <v>6902</v>
      </c>
      <c r="H161">
        <v>6</v>
      </c>
      <c r="I161">
        <v>65</v>
      </c>
    </row>
    <row r="162" spans="1:9" x14ac:dyDescent="0.25">
      <c r="A162" t="s">
        <v>193</v>
      </c>
      <c r="B162" t="s">
        <v>19</v>
      </c>
      <c r="C162" t="s">
        <v>40</v>
      </c>
      <c r="D162" t="s">
        <v>47</v>
      </c>
      <c r="E162" t="s">
        <v>17</v>
      </c>
      <c r="F162">
        <v>86</v>
      </c>
      <c r="G162">
        <v>4925</v>
      </c>
      <c r="H162">
        <v>4</v>
      </c>
      <c r="I162">
        <v>87</v>
      </c>
    </row>
    <row r="163" spans="1:9" x14ac:dyDescent="0.25">
      <c r="A163" t="s">
        <v>194</v>
      </c>
      <c r="B163" t="s">
        <v>10</v>
      </c>
      <c r="C163" t="s">
        <v>40</v>
      </c>
      <c r="D163" t="s">
        <v>47</v>
      </c>
      <c r="E163" t="s">
        <v>13</v>
      </c>
      <c r="F163">
        <v>63</v>
      </c>
      <c r="G163">
        <v>3843</v>
      </c>
      <c r="H163">
        <v>3</v>
      </c>
      <c r="I163">
        <v>52</v>
      </c>
    </row>
    <row r="164" spans="1:9" x14ac:dyDescent="0.25">
      <c r="A164" t="s">
        <v>195</v>
      </c>
      <c r="B164" t="s">
        <v>10</v>
      </c>
      <c r="C164" t="s">
        <v>26</v>
      </c>
      <c r="D164" t="s">
        <v>60</v>
      </c>
      <c r="E164" t="s">
        <v>17</v>
      </c>
      <c r="F164">
        <v>31</v>
      </c>
      <c r="G164">
        <v>3971</v>
      </c>
      <c r="H164">
        <v>3</v>
      </c>
      <c r="I164">
        <v>93</v>
      </c>
    </row>
    <row r="165" spans="1:9" x14ac:dyDescent="0.25">
      <c r="A165" t="s">
        <v>196</v>
      </c>
      <c r="B165" t="s">
        <v>44</v>
      </c>
      <c r="C165" t="s">
        <v>26</v>
      </c>
      <c r="D165" t="s">
        <v>12</v>
      </c>
      <c r="E165" t="s">
        <v>17</v>
      </c>
      <c r="F165">
        <v>25</v>
      </c>
      <c r="G165">
        <v>2000</v>
      </c>
      <c r="H165">
        <v>9</v>
      </c>
      <c r="I165">
        <v>55</v>
      </c>
    </row>
    <row r="166" spans="1:9" x14ac:dyDescent="0.25">
      <c r="A166" t="s">
        <v>197</v>
      </c>
      <c r="B166" t="s">
        <v>10</v>
      </c>
      <c r="C166" t="s">
        <v>40</v>
      </c>
      <c r="D166" t="s">
        <v>16</v>
      </c>
      <c r="E166" t="s">
        <v>13</v>
      </c>
      <c r="F166">
        <v>7</v>
      </c>
      <c r="G166">
        <v>3232</v>
      </c>
      <c r="H166">
        <v>2</v>
      </c>
      <c r="I166">
        <v>58</v>
      </c>
    </row>
    <row r="167" spans="1:9" x14ac:dyDescent="0.25">
      <c r="A167" t="s">
        <v>198</v>
      </c>
      <c r="B167" t="s">
        <v>49</v>
      </c>
      <c r="C167" t="s">
        <v>40</v>
      </c>
      <c r="D167" t="s">
        <v>31</v>
      </c>
      <c r="E167" t="s">
        <v>13</v>
      </c>
      <c r="F167">
        <v>71</v>
      </c>
      <c r="G167">
        <v>2197</v>
      </c>
      <c r="H167">
        <v>5</v>
      </c>
      <c r="I167">
        <v>63</v>
      </c>
    </row>
    <row r="168" spans="1:9" x14ac:dyDescent="0.25">
      <c r="A168" t="s">
        <v>199</v>
      </c>
      <c r="B168" t="s">
        <v>49</v>
      </c>
      <c r="C168" t="s">
        <v>40</v>
      </c>
      <c r="D168" t="s">
        <v>29</v>
      </c>
      <c r="E168" t="s">
        <v>13</v>
      </c>
      <c r="F168">
        <v>77</v>
      </c>
      <c r="G168">
        <v>523</v>
      </c>
      <c r="H168">
        <v>3</v>
      </c>
      <c r="I168">
        <v>59</v>
      </c>
    </row>
    <row r="169" spans="1:9" x14ac:dyDescent="0.25">
      <c r="A169" t="s">
        <v>200</v>
      </c>
      <c r="B169" t="s">
        <v>22</v>
      </c>
      <c r="C169" t="s">
        <v>26</v>
      </c>
      <c r="D169" t="s">
        <v>42</v>
      </c>
      <c r="E169" t="s">
        <v>17</v>
      </c>
      <c r="F169">
        <v>4</v>
      </c>
      <c r="G169">
        <v>2079</v>
      </c>
      <c r="H169">
        <v>2</v>
      </c>
      <c r="I169">
        <v>72</v>
      </c>
    </row>
    <row r="170" spans="1:9" x14ac:dyDescent="0.25">
      <c r="A170" t="s">
        <v>201</v>
      </c>
      <c r="B170" t="s">
        <v>49</v>
      </c>
      <c r="C170" t="s">
        <v>40</v>
      </c>
      <c r="D170" t="s">
        <v>16</v>
      </c>
      <c r="E170" t="s">
        <v>17</v>
      </c>
      <c r="F170">
        <v>23</v>
      </c>
      <c r="G170">
        <v>2673</v>
      </c>
      <c r="H170">
        <v>1</v>
      </c>
      <c r="I170">
        <v>58</v>
      </c>
    </row>
    <row r="171" spans="1:9" x14ac:dyDescent="0.25">
      <c r="A171" t="s">
        <v>202</v>
      </c>
      <c r="B171" t="s">
        <v>10</v>
      </c>
      <c r="C171" t="s">
        <v>23</v>
      </c>
      <c r="D171" t="s">
        <v>20</v>
      </c>
      <c r="E171" t="s">
        <v>17</v>
      </c>
      <c r="F171">
        <v>9</v>
      </c>
      <c r="G171">
        <v>1175</v>
      </c>
      <c r="H171">
        <v>2</v>
      </c>
      <c r="I171">
        <v>99</v>
      </c>
    </row>
    <row r="172" spans="1:9" x14ac:dyDescent="0.25">
      <c r="A172" t="s">
        <v>203</v>
      </c>
      <c r="B172" t="s">
        <v>44</v>
      </c>
      <c r="C172" t="s">
        <v>11</v>
      </c>
      <c r="D172" t="s">
        <v>34</v>
      </c>
      <c r="E172" t="s">
        <v>13</v>
      </c>
      <c r="F172">
        <v>79</v>
      </c>
      <c r="G172">
        <v>5710</v>
      </c>
      <c r="H172">
        <v>15</v>
      </c>
      <c r="I172">
        <v>83</v>
      </c>
    </row>
    <row r="173" spans="1:9" x14ac:dyDescent="0.25">
      <c r="A173" t="s">
        <v>204</v>
      </c>
      <c r="B173" t="s">
        <v>44</v>
      </c>
      <c r="C173" t="s">
        <v>23</v>
      </c>
      <c r="D173" t="s">
        <v>12</v>
      </c>
      <c r="E173" t="s">
        <v>17</v>
      </c>
      <c r="F173">
        <v>62</v>
      </c>
      <c r="G173">
        <v>1935</v>
      </c>
      <c r="H173">
        <v>2</v>
      </c>
      <c r="I173">
        <v>77</v>
      </c>
    </row>
    <row r="174" spans="1:9" x14ac:dyDescent="0.25">
      <c r="A174" t="s">
        <v>205</v>
      </c>
      <c r="B174" t="s">
        <v>10</v>
      </c>
      <c r="C174" t="s">
        <v>11</v>
      </c>
      <c r="D174" t="s">
        <v>34</v>
      </c>
      <c r="E174" t="s">
        <v>13</v>
      </c>
      <c r="F174">
        <v>57</v>
      </c>
      <c r="G174">
        <v>6204</v>
      </c>
      <c r="H174">
        <v>6</v>
      </c>
      <c r="I174">
        <v>70</v>
      </c>
    </row>
    <row r="175" spans="1:9" x14ac:dyDescent="0.25">
      <c r="A175" t="s">
        <v>206</v>
      </c>
      <c r="B175" t="s">
        <v>19</v>
      </c>
      <c r="C175" t="s">
        <v>40</v>
      </c>
      <c r="D175" t="s">
        <v>31</v>
      </c>
      <c r="E175" t="s">
        <v>17</v>
      </c>
      <c r="F175">
        <v>80</v>
      </c>
      <c r="G175">
        <v>4992</v>
      </c>
      <c r="H175">
        <v>3</v>
      </c>
      <c r="I175">
        <v>74</v>
      </c>
    </row>
    <row r="176" spans="1:9" x14ac:dyDescent="0.25">
      <c r="A176" t="s">
        <v>207</v>
      </c>
      <c r="B176" t="s">
        <v>19</v>
      </c>
      <c r="C176" t="s">
        <v>26</v>
      </c>
      <c r="D176" t="s">
        <v>34</v>
      </c>
      <c r="E176" t="s">
        <v>13</v>
      </c>
      <c r="F176">
        <v>56</v>
      </c>
      <c r="G176">
        <v>1812</v>
      </c>
      <c r="H176">
        <v>3</v>
      </c>
      <c r="I176">
        <v>91</v>
      </c>
    </row>
    <row r="177" spans="1:9" x14ac:dyDescent="0.25">
      <c r="A177" t="s">
        <v>208</v>
      </c>
      <c r="B177" t="s">
        <v>10</v>
      </c>
      <c r="C177" t="s">
        <v>40</v>
      </c>
      <c r="D177" t="s">
        <v>47</v>
      </c>
      <c r="E177" t="s">
        <v>17</v>
      </c>
      <c r="F177">
        <v>30</v>
      </c>
      <c r="G177">
        <v>3889</v>
      </c>
      <c r="H177">
        <v>3</v>
      </c>
      <c r="I177">
        <v>79</v>
      </c>
    </row>
    <row r="178" spans="1:9" x14ac:dyDescent="0.25">
      <c r="A178" t="s">
        <v>209</v>
      </c>
      <c r="B178" t="s">
        <v>25</v>
      </c>
      <c r="C178" t="s">
        <v>23</v>
      </c>
      <c r="D178" t="s">
        <v>31</v>
      </c>
      <c r="E178" t="s">
        <v>17</v>
      </c>
      <c r="F178">
        <v>41</v>
      </c>
      <c r="G178">
        <v>1562</v>
      </c>
      <c r="H178">
        <v>2</v>
      </c>
      <c r="I178">
        <v>73</v>
      </c>
    </row>
    <row r="179" spans="1:9" x14ac:dyDescent="0.25">
      <c r="A179" t="s">
        <v>210</v>
      </c>
      <c r="B179" t="s">
        <v>22</v>
      </c>
      <c r="C179" t="s">
        <v>23</v>
      </c>
      <c r="D179" t="s">
        <v>31</v>
      </c>
      <c r="E179" t="s">
        <v>17</v>
      </c>
      <c r="F179">
        <v>11</v>
      </c>
      <c r="G179">
        <v>390</v>
      </c>
      <c r="H179">
        <v>2</v>
      </c>
      <c r="I179">
        <v>56</v>
      </c>
    </row>
    <row r="180" spans="1:9" x14ac:dyDescent="0.25">
      <c r="A180" t="s">
        <v>211</v>
      </c>
      <c r="B180" t="s">
        <v>10</v>
      </c>
      <c r="C180" t="s">
        <v>26</v>
      </c>
      <c r="D180" t="s">
        <v>42</v>
      </c>
      <c r="E180" t="s">
        <v>13</v>
      </c>
      <c r="F180">
        <v>76</v>
      </c>
      <c r="G180">
        <v>5600</v>
      </c>
      <c r="H180">
        <v>10</v>
      </c>
      <c r="I180">
        <v>71</v>
      </c>
    </row>
    <row r="181" spans="1:9" x14ac:dyDescent="0.25">
      <c r="A181" t="s">
        <v>212</v>
      </c>
      <c r="B181" t="s">
        <v>10</v>
      </c>
      <c r="C181" t="s">
        <v>11</v>
      </c>
      <c r="D181" t="s">
        <v>47</v>
      </c>
      <c r="E181" t="s">
        <v>17</v>
      </c>
      <c r="F181">
        <v>86</v>
      </c>
      <c r="G181">
        <v>17292</v>
      </c>
      <c r="H181">
        <v>11</v>
      </c>
      <c r="I181">
        <v>96</v>
      </c>
    </row>
    <row r="182" spans="1:9" x14ac:dyDescent="0.25">
      <c r="A182" t="s">
        <v>213</v>
      </c>
      <c r="B182" t="s">
        <v>15</v>
      </c>
      <c r="C182" t="s">
        <v>26</v>
      </c>
      <c r="D182" t="s">
        <v>16</v>
      </c>
      <c r="E182" t="s">
        <v>17</v>
      </c>
      <c r="F182">
        <v>14</v>
      </c>
      <c r="G182">
        <v>5734</v>
      </c>
      <c r="H182">
        <v>10</v>
      </c>
      <c r="I182">
        <v>63</v>
      </c>
    </row>
    <row r="183" spans="1:9" x14ac:dyDescent="0.25">
      <c r="A183" t="s">
        <v>214</v>
      </c>
      <c r="B183" t="s">
        <v>22</v>
      </c>
      <c r="C183" t="s">
        <v>23</v>
      </c>
      <c r="D183" t="s">
        <v>60</v>
      </c>
      <c r="E183" t="s">
        <v>13</v>
      </c>
      <c r="F183">
        <v>45</v>
      </c>
      <c r="G183">
        <v>1931</v>
      </c>
      <c r="H183">
        <v>3</v>
      </c>
      <c r="I183">
        <v>73</v>
      </c>
    </row>
    <row r="184" spans="1:9" x14ac:dyDescent="0.25">
      <c r="A184" t="s">
        <v>215</v>
      </c>
      <c r="B184" t="s">
        <v>15</v>
      </c>
      <c r="C184" t="s">
        <v>26</v>
      </c>
      <c r="D184" t="s">
        <v>16</v>
      </c>
      <c r="E184" t="s">
        <v>17</v>
      </c>
      <c r="F184">
        <v>55</v>
      </c>
      <c r="G184">
        <v>5595</v>
      </c>
      <c r="H184">
        <v>10</v>
      </c>
      <c r="I184">
        <v>51</v>
      </c>
    </row>
    <row r="185" spans="1:9" x14ac:dyDescent="0.25">
      <c r="A185" t="s">
        <v>216</v>
      </c>
      <c r="B185" t="s">
        <v>19</v>
      </c>
      <c r="C185" t="s">
        <v>26</v>
      </c>
      <c r="D185" t="s">
        <v>12</v>
      </c>
      <c r="E185" t="s">
        <v>17</v>
      </c>
      <c r="F185">
        <v>90</v>
      </c>
      <c r="G185">
        <v>3531</v>
      </c>
      <c r="H185">
        <v>7</v>
      </c>
      <c r="I185">
        <v>72</v>
      </c>
    </row>
    <row r="186" spans="1:9" x14ac:dyDescent="0.25">
      <c r="A186" t="s">
        <v>217</v>
      </c>
      <c r="B186" t="s">
        <v>15</v>
      </c>
      <c r="C186" t="s">
        <v>40</v>
      </c>
      <c r="D186" t="s">
        <v>42</v>
      </c>
      <c r="E186" t="s">
        <v>13</v>
      </c>
      <c r="F186">
        <v>52</v>
      </c>
      <c r="G186">
        <v>1070</v>
      </c>
      <c r="H186">
        <v>2</v>
      </c>
      <c r="I186">
        <v>97</v>
      </c>
    </row>
    <row r="187" spans="1:9" x14ac:dyDescent="0.25">
      <c r="A187" t="s">
        <v>218</v>
      </c>
      <c r="B187" t="s">
        <v>10</v>
      </c>
      <c r="C187" t="s">
        <v>11</v>
      </c>
      <c r="D187" t="s">
        <v>31</v>
      </c>
      <c r="E187" t="s">
        <v>13</v>
      </c>
      <c r="F187">
        <v>28</v>
      </c>
      <c r="G187">
        <v>11163</v>
      </c>
      <c r="H187">
        <v>11</v>
      </c>
      <c r="I187">
        <v>79</v>
      </c>
    </row>
    <row r="188" spans="1:9" x14ac:dyDescent="0.25">
      <c r="A188" t="s">
        <v>219</v>
      </c>
      <c r="B188" t="s">
        <v>44</v>
      </c>
      <c r="C188" t="s">
        <v>40</v>
      </c>
      <c r="D188" t="s">
        <v>29</v>
      </c>
      <c r="E188" t="s">
        <v>17</v>
      </c>
      <c r="F188">
        <v>42</v>
      </c>
      <c r="G188">
        <v>1195</v>
      </c>
      <c r="H188">
        <v>1</v>
      </c>
      <c r="I188">
        <v>59</v>
      </c>
    </row>
    <row r="189" spans="1:9" x14ac:dyDescent="0.25">
      <c r="A189" t="s">
        <v>220</v>
      </c>
      <c r="B189" t="s">
        <v>22</v>
      </c>
      <c r="C189" t="s">
        <v>11</v>
      </c>
      <c r="D189" t="s">
        <v>31</v>
      </c>
      <c r="E189" t="s">
        <v>17</v>
      </c>
      <c r="F189">
        <v>85</v>
      </c>
      <c r="G189">
        <v>11947</v>
      </c>
      <c r="H189">
        <v>12</v>
      </c>
      <c r="I189">
        <v>88</v>
      </c>
    </row>
    <row r="190" spans="1:9" x14ac:dyDescent="0.25">
      <c r="A190" t="s">
        <v>221</v>
      </c>
      <c r="B190" t="s">
        <v>25</v>
      </c>
      <c r="C190" t="s">
        <v>23</v>
      </c>
      <c r="D190" t="s">
        <v>27</v>
      </c>
      <c r="E190" t="s">
        <v>17</v>
      </c>
      <c r="F190">
        <v>66</v>
      </c>
      <c r="G190">
        <v>433</v>
      </c>
      <c r="H190">
        <v>2</v>
      </c>
      <c r="I190">
        <v>77</v>
      </c>
    </row>
    <row r="191" spans="1:9" x14ac:dyDescent="0.25">
      <c r="A191" t="s">
        <v>222</v>
      </c>
      <c r="B191" t="s">
        <v>15</v>
      </c>
      <c r="C191" t="s">
        <v>26</v>
      </c>
      <c r="D191" t="s">
        <v>16</v>
      </c>
      <c r="E191" t="s">
        <v>17</v>
      </c>
      <c r="F191">
        <v>86</v>
      </c>
      <c r="G191">
        <v>3526</v>
      </c>
      <c r="H191">
        <v>2</v>
      </c>
      <c r="I191">
        <v>64</v>
      </c>
    </row>
    <row r="192" spans="1:9" x14ac:dyDescent="0.25">
      <c r="A192" t="s">
        <v>223</v>
      </c>
      <c r="B192" t="s">
        <v>25</v>
      </c>
      <c r="C192" t="s">
        <v>11</v>
      </c>
      <c r="D192" t="s">
        <v>12</v>
      </c>
      <c r="E192" t="s">
        <v>17</v>
      </c>
      <c r="F192">
        <v>28</v>
      </c>
      <c r="G192">
        <v>17572</v>
      </c>
      <c r="H192">
        <v>7</v>
      </c>
      <c r="I192">
        <v>98</v>
      </c>
    </row>
    <row r="193" spans="1:9" x14ac:dyDescent="0.25">
      <c r="A193" t="s">
        <v>224</v>
      </c>
      <c r="B193" t="s">
        <v>44</v>
      </c>
      <c r="C193" t="s">
        <v>26</v>
      </c>
      <c r="D193" t="s">
        <v>29</v>
      </c>
      <c r="E193" t="s">
        <v>17</v>
      </c>
      <c r="F193">
        <v>64</v>
      </c>
      <c r="G193">
        <v>4527</v>
      </c>
      <c r="H193">
        <v>4</v>
      </c>
      <c r="I193">
        <v>58</v>
      </c>
    </row>
    <row r="194" spans="1:9" x14ac:dyDescent="0.25">
      <c r="A194" t="s">
        <v>225</v>
      </c>
      <c r="B194" t="s">
        <v>25</v>
      </c>
      <c r="C194" t="s">
        <v>40</v>
      </c>
      <c r="D194" t="s">
        <v>20</v>
      </c>
      <c r="E194" t="s">
        <v>13</v>
      </c>
      <c r="F194">
        <v>86</v>
      </c>
      <c r="G194">
        <v>3401</v>
      </c>
      <c r="H194">
        <v>1</v>
      </c>
      <c r="I194">
        <v>75</v>
      </c>
    </row>
    <row r="195" spans="1:9" x14ac:dyDescent="0.25">
      <c r="A195" t="s">
        <v>226</v>
      </c>
      <c r="B195" t="s">
        <v>49</v>
      </c>
      <c r="C195" t="s">
        <v>11</v>
      </c>
      <c r="D195" t="s">
        <v>47</v>
      </c>
      <c r="E195" t="s">
        <v>17</v>
      </c>
      <c r="F195">
        <v>10</v>
      </c>
      <c r="G195">
        <v>19124</v>
      </c>
      <c r="H195">
        <v>10</v>
      </c>
      <c r="I195">
        <v>86</v>
      </c>
    </row>
    <row r="196" spans="1:9" x14ac:dyDescent="0.25">
      <c r="A196" t="s">
        <v>227</v>
      </c>
      <c r="B196" t="s">
        <v>25</v>
      </c>
      <c r="C196" t="s">
        <v>23</v>
      </c>
      <c r="D196" t="s">
        <v>47</v>
      </c>
      <c r="E196" t="s">
        <v>17</v>
      </c>
      <c r="F196">
        <v>52</v>
      </c>
      <c r="G196">
        <v>242</v>
      </c>
      <c r="H196">
        <v>2</v>
      </c>
      <c r="I196">
        <v>60</v>
      </c>
    </row>
    <row r="197" spans="1:9" x14ac:dyDescent="0.25">
      <c r="A197" t="s">
        <v>228</v>
      </c>
      <c r="B197" t="s">
        <v>49</v>
      </c>
      <c r="C197" t="s">
        <v>23</v>
      </c>
      <c r="D197" t="s">
        <v>29</v>
      </c>
      <c r="E197" t="s">
        <v>17</v>
      </c>
      <c r="F197">
        <v>14</v>
      </c>
      <c r="G197">
        <v>698</v>
      </c>
      <c r="H197">
        <v>2</v>
      </c>
      <c r="I197">
        <v>87</v>
      </c>
    </row>
    <row r="198" spans="1:9" x14ac:dyDescent="0.25">
      <c r="A198" t="s">
        <v>229</v>
      </c>
      <c r="B198" t="s">
        <v>25</v>
      </c>
      <c r="C198" t="s">
        <v>11</v>
      </c>
      <c r="D198" t="s">
        <v>47</v>
      </c>
      <c r="E198" t="s">
        <v>13</v>
      </c>
      <c r="F198">
        <v>44</v>
      </c>
      <c r="G198">
        <v>8630</v>
      </c>
      <c r="H198">
        <v>10</v>
      </c>
      <c r="I198">
        <v>99</v>
      </c>
    </row>
    <row r="199" spans="1:9" x14ac:dyDescent="0.25">
      <c r="A199" t="s">
        <v>230</v>
      </c>
      <c r="B199" t="s">
        <v>22</v>
      </c>
      <c r="C199" t="s">
        <v>11</v>
      </c>
      <c r="D199" t="s">
        <v>20</v>
      </c>
      <c r="E199" t="s">
        <v>13</v>
      </c>
      <c r="F199">
        <v>68</v>
      </c>
      <c r="G199">
        <v>13355</v>
      </c>
      <c r="H199">
        <v>8</v>
      </c>
      <c r="I199">
        <v>99</v>
      </c>
    </row>
    <row r="200" spans="1:9" x14ac:dyDescent="0.25">
      <c r="A200" t="s">
        <v>231</v>
      </c>
      <c r="B200" t="s">
        <v>44</v>
      </c>
      <c r="C200" t="s">
        <v>26</v>
      </c>
      <c r="D200" t="s">
        <v>42</v>
      </c>
      <c r="E200" t="s">
        <v>17</v>
      </c>
      <c r="F200">
        <v>19</v>
      </c>
      <c r="G200">
        <v>3096</v>
      </c>
      <c r="H200">
        <v>5</v>
      </c>
      <c r="I200">
        <v>61</v>
      </c>
    </row>
    <row r="201" spans="1:9" x14ac:dyDescent="0.25">
      <c r="A201" t="s">
        <v>232</v>
      </c>
      <c r="B201" t="s">
        <v>19</v>
      </c>
      <c r="C201" t="s">
        <v>40</v>
      </c>
      <c r="D201" t="s">
        <v>31</v>
      </c>
      <c r="E201" t="s">
        <v>17</v>
      </c>
      <c r="F201">
        <v>81</v>
      </c>
      <c r="G201">
        <v>4547</v>
      </c>
      <c r="H201">
        <v>4</v>
      </c>
      <c r="I201">
        <v>98</v>
      </c>
    </row>
    <row r="202" spans="1:9" x14ac:dyDescent="0.25">
      <c r="A202" t="s">
        <v>233</v>
      </c>
      <c r="B202" t="s">
        <v>19</v>
      </c>
      <c r="C202" t="s">
        <v>23</v>
      </c>
      <c r="D202" t="s">
        <v>16</v>
      </c>
      <c r="E202" t="s">
        <v>13</v>
      </c>
      <c r="F202">
        <v>80</v>
      </c>
      <c r="G202">
        <v>861</v>
      </c>
      <c r="H202">
        <v>3</v>
      </c>
      <c r="I202">
        <v>70</v>
      </c>
    </row>
    <row r="203" spans="1:9" x14ac:dyDescent="0.25">
      <c r="A203" t="s">
        <v>234</v>
      </c>
      <c r="B203" t="s">
        <v>22</v>
      </c>
      <c r="C203" t="s">
        <v>23</v>
      </c>
      <c r="D203" t="s">
        <v>31</v>
      </c>
      <c r="E203" t="s">
        <v>17</v>
      </c>
      <c r="F203">
        <v>81</v>
      </c>
      <c r="G203">
        <v>820</v>
      </c>
      <c r="H203">
        <v>2</v>
      </c>
      <c r="I203">
        <v>87</v>
      </c>
    </row>
    <row r="204" spans="1:9" x14ac:dyDescent="0.25">
      <c r="A204" t="s">
        <v>235</v>
      </c>
      <c r="B204" t="s">
        <v>15</v>
      </c>
      <c r="C204" t="s">
        <v>26</v>
      </c>
      <c r="D204" t="s">
        <v>20</v>
      </c>
      <c r="E204" t="s">
        <v>17</v>
      </c>
      <c r="F204">
        <v>60</v>
      </c>
      <c r="G204">
        <v>4702</v>
      </c>
      <c r="H204">
        <v>2</v>
      </c>
      <c r="I204">
        <v>53</v>
      </c>
    </row>
    <row r="205" spans="1:9" x14ac:dyDescent="0.25">
      <c r="A205" t="s">
        <v>236</v>
      </c>
      <c r="B205" t="s">
        <v>44</v>
      </c>
      <c r="C205" t="s">
        <v>26</v>
      </c>
      <c r="D205" t="s">
        <v>31</v>
      </c>
      <c r="E205" t="s">
        <v>13</v>
      </c>
      <c r="F205">
        <v>12</v>
      </c>
      <c r="G205">
        <v>6038</v>
      </c>
      <c r="H205">
        <v>10</v>
      </c>
      <c r="I205">
        <v>74</v>
      </c>
    </row>
    <row r="206" spans="1:9" x14ac:dyDescent="0.25">
      <c r="A206" t="s">
        <v>237</v>
      </c>
      <c r="B206" t="s">
        <v>25</v>
      </c>
      <c r="C206" t="s">
        <v>11</v>
      </c>
      <c r="D206" t="s">
        <v>34</v>
      </c>
      <c r="E206" t="s">
        <v>13</v>
      </c>
      <c r="F206">
        <v>74</v>
      </c>
      <c r="G206">
        <v>15679</v>
      </c>
      <c r="H206">
        <v>8</v>
      </c>
      <c r="I206">
        <v>70</v>
      </c>
    </row>
    <row r="207" spans="1:9" x14ac:dyDescent="0.25">
      <c r="A207" t="s">
        <v>238</v>
      </c>
      <c r="B207" t="s">
        <v>19</v>
      </c>
      <c r="C207" t="s">
        <v>23</v>
      </c>
      <c r="D207" t="s">
        <v>20</v>
      </c>
      <c r="E207" t="s">
        <v>17</v>
      </c>
      <c r="F207">
        <v>8</v>
      </c>
      <c r="G207">
        <v>1122</v>
      </c>
      <c r="H207">
        <v>1</v>
      </c>
      <c r="I207">
        <v>71</v>
      </c>
    </row>
    <row r="208" spans="1:9" x14ac:dyDescent="0.25">
      <c r="A208" t="s">
        <v>239</v>
      </c>
      <c r="B208" t="s">
        <v>10</v>
      </c>
      <c r="C208" t="s">
        <v>11</v>
      </c>
      <c r="D208" t="s">
        <v>20</v>
      </c>
      <c r="E208" t="s">
        <v>13</v>
      </c>
      <c r="F208">
        <v>6</v>
      </c>
      <c r="G208">
        <v>9059</v>
      </c>
      <c r="H208">
        <v>12</v>
      </c>
      <c r="I208">
        <v>78</v>
      </c>
    </row>
    <row r="209" spans="1:9" x14ac:dyDescent="0.25">
      <c r="A209" t="s">
        <v>240</v>
      </c>
      <c r="B209" t="s">
        <v>19</v>
      </c>
      <c r="C209" t="s">
        <v>40</v>
      </c>
      <c r="D209" t="s">
        <v>29</v>
      </c>
      <c r="E209" t="s">
        <v>17</v>
      </c>
      <c r="F209">
        <v>37</v>
      </c>
      <c r="G209">
        <v>3673</v>
      </c>
      <c r="H209">
        <v>4</v>
      </c>
      <c r="I209">
        <v>99</v>
      </c>
    </row>
    <row r="210" spans="1:9" x14ac:dyDescent="0.25">
      <c r="A210" t="s">
        <v>241</v>
      </c>
      <c r="B210" t="s">
        <v>44</v>
      </c>
      <c r="C210" t="s">
        <v>11</v>
      </c>
      <c r="D210" t="s">
        <v>29</v>
      </c>
      <c r="E210" t="s">
        <v>17</v>
      </c>
      <c r="F210">
        <v>13</v>
      </c>
      <c r="G210">
        <v>14141</v>
      </c>
      <c r="H210">
        <v>15</v>
      </c>
      <c r="I210">
        <v>74</v>
      </c>
    </row>
    <row r="211" spans="1:9" x14ac:dyDescent="0.25">
      <c r="A211" t="s">
        <v>242</v>
      </c>
      <c r="B211" t="s">
        <v>44</v>
      </c>
      <c r="C211" t="s">
        <v>26</v>
      </c>
      <c r="D211" t="s">
        <v>16</v>
      </c>
      <c r="E211" t="s">
        <v>13</v>
      </c>
      <c r="F211">
        <v>43</v>
      </c>
      <c r="G211">
        <v>1667</v>
      </c>
      <c r="H211">
        <v>4</v>
      </c>
      <c r="I211">
        <v>72</v>
      </c>
    </row>
    <row r="212" spans="1:9" x14ac:dyDescent="0.25">
      <c r="A212" t="s">
        <v>243</v>
      </c>
      <c r="B212" t="s">
        <v>44</v>
      </c>
      <c r="C212" t="s">
        <v>23</v>
      </c>
      <c r="D212" t="s">
        <v>42</v>
      </c>
      <c r="E212" t="s">
        <v>13</v>
      </c>
      <c r="F212">
        <v>11</v>
      </c>
      <c r="G212">
        <v>834</v>
      </c>
      <c r="H212">
        <v>3</v>
      </c>
      <c r="I212">
        <v>74</v>
      </c>
    </row>
    <row r="213" spans="1:9" x14ac:dyDescent="0.25">
      <c r="A213" t="s">
        <v>244</v>
      </c>
      <c r="B213" t="s">
        <v>10</v>
      </c>
      <c r="C213" t="s">
        <v>26</v>
      </c>
      <c r="D213" t="s">
        <v>42</v>
      </c>
      <c r="E213" t="s">
        <v>13</v>
      </c>
      <c r="F213">
        <v>88</v>
      </c>
      <c r="G213">
        <v>5312</v>
      </c>
      <c r="H213">
        <v>3</v>
      </c>
      <c r="I213">
        <v>91</v>
      </c>
    </row>
    <row r="214" spans="1:9" x14ac:dyDescent="0.25">
      <c r="A214" t="s">
        <v>245</v>
      </c>
      <c r="B214" t="s">
        <v>10</v>
      </c>
      <c r="C214" t="s">
        <v>23</v>
      </c>
      <c r="D214" t="s">
        <v>20</v>
      </c>
      <c r="E214" t="s">
        <v>17</v>
      </c>
      <c r="F214">
        <v>47</v>
      </c>
      <c r="G214">
        <v>832</v>
      </c>
      <c r="H214">
        <v>1</v>
      </c>
      <c r="I214">
        <v>63</v>
      </c>
    </row>
    <row r="215" spans="1:9" x14ac:dyDescent="0.25">
      <c r="A215" t="s">
        <v>246</v>
      </c>
      <c r="B215" t="s">
        <v>44</v>
      </c>
      <c r="C215" t="s">
        <v>23</v>
      </c>
      <c r="D215" t="s">
        <v>60</v>
      </c>
      <c r="E215" t="s">
        <v>17</v>
      </c>
      <c r="F215">
        <v>18</v>
      </c>
      <c r="G215">
        <v>517</v>
      </c>
      <c r="H215">
        <v>1</v>
      </c>
      <c r="I215">
        <v>68</v>
      </c>
    </row>
    <row r="216" spans="1:9" x14ac:dyDescent="0.25">
      <c r="A216" t="s">
        <v>247</v>
      </c>
      <c r="B216" t="s">
        <v>49</v>
      </c>
      <c r="C216" t="s">
        <v>11</v>
      </c>
      <c r="D216" t="s">
        <v>20</v>
      </c>
      <c r="E216" t="s">
        <v>13</v>
      </c>
      <c r="F216">
        <v>68</v>
      </c>
      <c r="G216">
        <v>5618</v>
      </c>
      <c r="H216">
        <v>15</v>
      </c>
      <c r="I216">
        <v>71</v>
      </c>
    </row>
    <row r="217" spans="1:9" x14ac:dyDescent="0.25">
      <c r="A217" t="s">
        <v>248</v>
      </c>
      <c r="B217" t="s">
        <v>49</v>
      </c>
      <c r="C217" t="s">
        <v>40</v>
      </c>
      <c r="D217" t="s">
        <v>16</v>
      </c>
      <c r="E217" t="s">
        <v>17</v>
      </c>
      <c r="F217">
        <v>21</v>
      </c>
      <c r="G217">
        <v>1981</v>
      </c>
      <c r="H217">
        <v>5</v>
      </c>
      <c r="I217">
        <v>60</v>
      </c>
    </row>
    <row r="218" spans="1:9" x14ac:dyDescent="0.25">
      <c r="A218" t="s">
        <v>249</v>
      </c>
      <c r="B218" t="s">
        <v>10</v>
      </c>
      <c r="C218" t="s">
        <v>23</v>
      </c>
      <c r="D218" t="s">
        <v>12</v>
      </c>
      <c r="E218" t="s">
        <v>17</v>
      </c>
      <c r="F218">
        <v>87</v>
      </c>
      <c r="G218">
        <v>1673</v>
      </c>
      <c r="H218">
        <v>1</v>
      </c>
      <c r="I218">
        <v>78</v>
      </c>
    </row>
    <row r="219" spans="1:9" x14ac:dyDescent="0.25">
      <c r="A219" t="s">
        <v>250</v>
      </c>
      <c r="B219" t="s">
        <v>19</v>
      </c>
      <c r="C219" t="s">
        <v>26</v>
      </c>
      <c r="D219" t="s">
        <v>34</v>
      </c>
      <c r="E219" t="s">
        <v>17</v>
      </c>
      <c r="F219">
        <v>31</v>
      </c>
      <c r="G219">
        <v>3535</v>
      </c>
      <c r="H219">
        <v>9</v>
      </c>
      <c r="I219">
        <v>62</v>
      </c>
    </row>
    <row r="220" spans="1:9" x14ac:dyDescent="0.25">
      <c r="A220" t="s">
        <v>251</v>
      </c>
      <c r="B220" t="s">
        <v>44</v>
      </c>
      <c r="C220" t="s">
        <v>23</v>
      </c>
      <c r="D220" t="s">
        <v>34</v>
      </c>
      <c r="E220" t="s">
        <v>13</v>
      </c>
      <c r="F220">
        <v>49</v>
      </c>
      <c r="G220">
        <v>1229</v>
      </c>
      <c r="H220">
        <v>3</v>
      </c>
      <c r="I220">
        <v>76</v>
      </c>
    </row>
    <row r="221" spans="1:9" x14ac:dyDescent="0.25">
      <c r="A221" t="s">
        <v>252</v>
      </c>
      <c r="B221" t="s">
        <v>22</v>
      </c>
      <c r="C221" t="s">
        <v>40</v>
      </c>
      <c r="D221" t="s">
        <v>16</v>
      </c>
      <c r="E221" t="s">
        <v>17</v>
      </c>
      <c r="F221">
        <v>33</v>
      </c>
      <c r="G221">
        <v>927</v>
      </c>
      <c r="H221">
        <v>4</v>
      </c>
      <c r="I221">
        <v>73</v>
      </c>
    </row>
    <row r="222" spans="1:9" x14ac:dyDescent="0.25">
      <c r="A222" t="s">
        <v>253</v>
      </c>
      <c r="B222" t="s">
        <v>19</v>
      </c>
      <c r="C222" t="s">
        <v>11</v>
      </c>
      <c r="D222" t="s">
        <v>20</v>
      </c>
      <c r="E222" t="s">
        <v>13</v>
      </c>
      <c r="F222">
        <v>37</v>
      </c>
      <c r="G222">
        <v>6374</v>
      </c>
      <c r="H222">
        <v>7</v>
      </c>
      <c r="I222">
        <v>67</v>
      </c>
    </row>
    <row r="223" spans="1:9" x14ac:dyDescent="0.25">
      <c r="A223" t="s">
        <v>254</v>
      </c>
      <c r="B223" t="s">
        <v>25</v>
      </c>
      <c r="C223" t="s">
        <v>40</v>
      </c>
      <c r="D223" t="s">
        <v>47</v>
      </c>
      <c r="E223" t="s">
        <v>17</v>
      </c>
      <c r="F223">
        <v>29</v>
      </c>
      <c r="G223">
        <v>4195</v>
      </c>
      <c r="H223">
        <v>3</v>
      </c>
      <c r="I223">
        <v>51</v>
      </c>
    </row>
    <row r="224" spans="1:9" x14ac:dyDescent="0.25">
      <c r="A224" t="s">
        <v>255</v>
      </c>
      <c r="B224" t="s">
        <v>25</v>
      </c>
      <c r="C224" t="s">
        <v>11</v>
      </c>
      <c r="D224" t="s">
        <v>47</v>
      </c>
      <c r="E224" t="s">
        <v>13</v>
      </c>
      <c r="F224">
        <v>31</v>
      </c>
      <c r="G224">
        <v>11326</v>
      </c>
      <c r="H224">
        <v>6</v>
      </c>
      <c r="I224">
        <v>73</v>
      </c>
    </row>
    <row r="225" spans="1:9" x14ac:dyDescent="0.25">
      <c r="A225" t="s">
        <v>256</v>
      </c>
      <c r="B225" t="s">
        <v>22</v>
      </c>
      <c r="C225" t="s">
        <v>11</v>
      </c>
      <c r="D225" t="s">
        <v>29</v>
      </c>
      <c r="E225" t="s">
        <v>13</v>
      </c>
      <c r="F225">
        <v>84</v>
      </c>
      <c r="G225">
        <v>10493</v>
      </c>
      <c r="H225">
        <v>7</v>
      </c>
      <c r="I225">
        <v>58</v>
      </c>
    </row>
    <row r="226" spans="1:9" x14ac:dyDescent="0.25">
      <c r="A226" t="s">
        <v>257</v>
      </c>
      <c r="B226" t="s">
        <v>15</v>
      </c>
      <c r="C226" t="s">
        <v>26</v>
      </c>
      <c r="D226" t="s">
        <v>34</v>
      </c>
      <c r="E226" t="s">
        <v>13</v>
      </c>
      <c r="F226">
        <v>18</v>
      </c>
      <c r="G226">
        <v>6779</v>
      </c>
      <c r="H226">
        <v>9</v>
      </c>
      <c r="I226">
        <v>78</v>
      </c>
    </row>
    <row r="227" spans="1:9" x14ac:dyDescent="0.25">
      <c r="A227" t="s">
        <v>258</v>
      </c>
      <c r="B227" t="s">
        <v>19</v>
      </c>
      <c r="C227" t="s">
        <v>11</v>
      </c>
      <c r="D227" t="s">
        <v>31</v>
      </c>
      <c r="E227" t="s">
        <v>17</v>
      </c>
      <c r="F227">
        <v>28</v>
      </c>
      <c r="G227">
        <v>18680</v>
      </c>
      <c r="H227">
        <v>7</v>
      </c>
      <c r="I227">
        <v>85</v>
      </c>
    </row>
    <row r="228" spans="1:9" x14ac:dyDescent="0.25">
      <c r="A228" t="s">
        <v>259</v>
      </c>
      <c r="B228" t="s">
        <v>10</v>
      </c>
      <c r="C228" t="s">
        <v>23</v>
      </c>
      <c r="D228" t="s">
        <v>31</v>
      </c>
      <c r="E228" t="s">
        <v>13</v>
      </c>
      <c r="F228">
        <v>31</v>
      </c>
      <c r="G228">
        <v>816</v>
      </c>
      <c r="H228">
        <v>1</v>
      </c>
      <c r="I228">
        <v>53</v>
      </c>
    </row>
    <row r="229" spans="1:9" x14ac:dyDescent="0.25">
      <c r="A229" t="s">
        <v>260</v>
      </c>
      <c r="B229" t="s">
        <v>22</v>
      </c>
      <c r="C229" t="s">
        <v>23</v>
      </c>
      <c r="D229" t="s">
        <v>16</v>
      </c>
      <c r="E229" t="s">
        <v>17</v>
      </c>
      <c r="F229">
        <v>15</v>
      </c>
      <c r="G229">
        <v>1913</v>
      </c>
      <c r="H229">
        <v>2</v>
      </c>
      <c r="I229">
        <v>88</v>
      </c>
    </row>
    <row r="230" spans="1:9" x14ac:dyDescent="0.25">
      <c r="A230" t="s">
        <v>261</v>
      </c>
      <c r="B230" t="s">
        <v>19</v>
      </c>
      <c r="C230" t="s">
        <v>11</v>
      </c>
      <c r="D230" t="s">
        <v>20</v>
      </c>
      <c r="E230" t="s">
        <v>13</v>
      </c>
      <c r="F230">
        <v>19</v>
      </c>
      <c r="G230">
        <v>9772</v>
      </c>
      <c r="H230">
        <v>11</v>
      </c>
      <c r="I230">
        <v>50</v>
      </c>
    </row>
    <row r="231" spans="1:9" x14ac:dyDescent="0.25">
      <c r="A231" t="s">
        <v>262</v>
      </c>
      <c r="B231" t="s">
        <v>19</v>
      </c>
      <c r="C231" t="s">
        <v>26</v>
      </c>
      <c r="D231" t="s">
        <v>60</v>
      </c>
      <c r="E231" t="s">
        <v>13</v>
      </c>
      <c r="F231">
        <v>24</v>
      </c>
      <c r="G231">
        <v>6442</v>
      </c>
      <c r="H231">
        <v>3</v>
      </c>
      <c r="I231">
        <v>83</v>
      </c>
    </row>
    <row r="232" spans="1:9" x14ac:dyDescent="0.25">
      <c r="A232" t="s">
        <v>263</v>
      </c>
      <c r="B232" t="s">
        <v>44</v>
      </c>
      <c r="C232" t="s">
        <v>11</v>
      </c>
      <c r="D232" t="s">
        <v>20</v>
      </c>
      <c r="E232" t="s">
        <v>13</v>
      </c>
      <c r="F232">
        <v>65</v>
      </c>
      <c r="G232">
        <v>14079</v>
      </c>
      <c r="H232">
        <v>5</v>
      </c>
      <c r="I232">
        <v>74</v>
      </c>
    </row>
    <row r="233" spans="1:9" x14ac:dyDescent="0.25">
      <c r="A233" t="s">
        <v>264</v>
      </c>
      <c r="B233" t="s">
        <v>49</v>
      </c>
      <c r="C233" t="s">
        <v>23</v>
      </c>
      <c r="D233" t="s">
        <v>12</v>
      </c>
      <c r="E233" t="s">
        <v>13</v>
      </c>
      <c r="F233">
        <v>48</v>
      </c>
      <c r="G233">
        <v>719</v>
      </c>
      <c r="H233">
        <v>3</v>
      </c>
      <c r="I233">
        <v>51</v>
      </c>
    </row>
    <row r="234" spans="1:9" x14ac:dyDescent="0.25">
      <c r="A234" t="s">
        <v>265</v>
      </c>
      <c r="B234" t="s">
        <v>44</v>
      </c>
      <c r="C234" t="s">
        <v>11</v>
      </c>
      <c r="D234" t="s">
        <v>29</v>
      </c>
      <c r="E234" t="s">
        <v>17</v>
      </c>
      <c r="F234">
        <v>85</v>
      </c>
      <c r="G234">
        <v>15293</v>
      </c>
      <c r="H234">
        <v>6</v>
      </c>
      <c r="I234">
        <v>99</v>
      </c>
    </row>
    <row r="235" spans="1:9" x14ac:dyDescent="0.25">
      <c r="A235" t="s">
        <v>266</v>
      </c>
      <c r="B235" t="s">
        <v>19</v>
      </c>
      <c r="C235" t="s">
        <v>26</v>
      </c>
      <c r="D235" t="s">
        <v>42</v>
      </c>
      <c r="E235" t="s">
        <v>17</v>
      </c>
      <c r="F235">
        <v>70</v>
      </c>
      <c r="G235">
        <v>3773</v>
      </c>
      <c r="H235">
        <v>4</v>
      </c>
      <c r="I235">
        <v>99</v>
      </c>
    </row>
    <row r="236" spans="1:9" x14ac:dyDescent="0.25">
      <c r="A236" t="s">
        <v>267</v>
      </c>
      <c r="B236" t="s">
        <v>10</v>
      </c>
      <c r="C236" t="s">
        <v>23</v>
      </c>
      <c r="D236" t="s">
        <v>34</v>
      </c>
      <c r="E236" t="s">
        <v>13</v>
      </c>
      <c r="F236">
        <v>18</v>
      </c>
      <c r="G236">
        <v>329</v>
      </c>
      <c r="H236">
        <v>3</v>
      </c>
      <c r="I236">
        <v>99</v>
      </c>
    </row>
    <row r="237" spans="1:9" x14ac:dyDescent="0.25">
      <c r="A237" t="s">
        <v>268</v>
      </c>
      <c r="B237" t="s">
        <v>25</v>
      </c>
      <c r="C237" t="s">
        <v>11</v>
      </c>
      <c r="D237" t="s">
        <v>27</v>
      </c>
      <c r="E237" t="s">
        <v>17</v>
      </c>
      <c r="F237">
        <v>26</v>
      </c>
      <c r="G237">
        <v>19512</v>
      </c>
      <c r="H237">
        <v>5</v>
      </c>
      <c r="I237">
        <v>70</v>
      </c>
    </row>
    <row r="238" spans="1:9" x14ac:dyDescent="0.25">
      <c r="A238" t="s">
        <v>269</v>
      </c>
      <c r="B238" t="s">
        <v>44</v>
      </c>
      <c r="C238" t="s">
        <v>23</v>
      </c>
      <c r="D238" t="s">
        <v>20</v>
      </c>
      <c r="E238" t="s">
        <v>17</v>
      </c>
      <c r="F238">
        <v>5</v>
      </c>
      <c r="G238">
        <v>1742</v>
      </c>
      <c r="H238">
        <v>3</v>
      </c>
      <c r="I238">
        <v>62</v>
      </c>
    </row>
    <row r="239" spans="1:9" x14ac:dyDescent="0.25">
      <c r="A239" t="s">
        <v>270</v>
      </c>
      <c r="B239" t="s">
        <v>44</v>
      </c>
      <c r="C239" t="s">
        <v>26</v>
      </c>
      <c r="D239" t="s">
        <v>12</v>
      </c>
      <c r="E239" t="s">
        <v>13</v>
      </c>
      <c r="F239">
        <v>43</v>
      </c>
      <c r="G239">
        <v>3238</v>
      </c>
      <c r="H239">
        <v>3</v>
      </c>
      <c r="I239">
        <v>73</v>
      </c>
    </row>
    <row r="240" spans="1:9" x14ac:dyDescent="0.25">
      <c r="A240" t="s">
        <v>271</v>
      </c>
      <c r="B240" t="s">
        <v>25</v>
      </c>
      <c r="C240" t="s">
        <v>23</v>
      </c>
      <c r="D240" t="s">
        <v>34</v>
      </c>
      <c r="E240" t="s">
        <v>13</v>
      </c>
      <c r="F240">
        <v>50</v>
      </c>
      <c r="G240">
        <v>894</v>
      </c>
      <c r="H240">
        <v>1</v>
      </c>
      <c r="I240">
        <v>81</v>
      </c>
    </row>
    <row r="241" spans="1:9" x14ac:dyDescent="0.25">
      <c r="A241" t="s">
        <v>272</v>
      </c>
      <c r="B241" t="s">
        <v>10</v>
      </c>
      <c r="C241" t="s">
        <v>23</v>
      </c>
      <c r="D241" t="s">
        <v>29</v>
      </c>
      <c r="E241" t="s">
        <v>13</v>
      </c>
      <c r="F241">
        <v>67</v>
      </c>
      <c r="G241">
        <v>746</v>
      </c>
      <c r="H241">
        <v>1</v>
      </c>
      <c r="I241">
        <v>96</v>
      </c>
    </row>
    <row r="242" spans="1:9" x14ac:dyDescent="0.25">
      <c r="A242" t="s">
        <v>273</v>
      </c>
      <c r="B242" t="s">
        <v>25</v>
      </c>
      <c r="C242" t="s">
        <v>11</v>
      </c>
      <c r="D242" t="s">
        <v>47</v>
      </c>
      <c r="E242" t="s">
        <v>13</v>
      </c>
      <c r="F242">
        <v>24</v>
      </c>
      <c r="G242">
        <v>13937</v>
      </c>
      <c r="H242">
        <v>9</v>
      </c>
      <c r="I242">
        <v>70</v>
      </c>
    </row>
    <row r="243" spans="1:9" x14ac:dyDescent="0.25">
      <c r="A243" t="s">
        <v>274</v>
      </c>
      <c r="B243" t="s">
        <v>15</v>
      </c>
      <c r="C243" t="s">
        <v>11</v>
      </c>
      <c r="D243" t="s">
        <v>29</v>
      </c>
      <c r="E243" t="s">
        <v>13</v>
      </c>
      <c r="F243">
        <v>40</v>
      </c>
      <c r="G243">
        <v>12305</v>
      </c>
      <c r="H243">
        <v>14</v>
      </c>
      <c r="I243">
        <v>95</v>
      </c>
    </row>
    <row r="244" spans="1:9" x14ac:dyDescent="0.25">
      <c r="A244" t="s">
        <v>275</v>
      </c>
      <c r="B244" t="s">
        <v>25</v>
      </c>
      <c r="C244" t="s">
        <v>40</v>
      </c>
      <c r="D244" t="s">
        <v>34</v>
      </c>
      <c r="E244" t="s">
        <v>17</v>
      </c>
      <c r="F244">
        <v>6</v>
      </c>
      <c r="G244">
        <v>3388</v>
      </c>
      <c r="H244">
        <v>5</v>
      </c>
      <c r="I244">
        <v>77</v>
      </c>
    </row>
    <row r="245" spans="1:9" x14ac:dyDescent="0.25">
      <c r="A245" t="s">
        <v>276</v>
      </c>
      <c r="B245" t="s">
        <v>44</v>
      </c>
      <c r="C245" t="s">
        <v>11</v>
      </c>
      <c r="D245" t="s">
        <v>31</v>
      </c>
      <c r="E245" t="s">
        <v>13</v>
      </c>
      <c r="F245">
        <v>52</v>
      </c>
      <c r="G245">
        <v>10952</v>
      </c>
      <c r="H245">
        <v>13</v>
      </c>
      <c r="I245">
        <v>97</v>
      </c>
    </row>
    <row r="246" spans="1:9" x14ac:dyDescent="0.25">
      <c r="A246" t="s">
        <v>277</v>
      </c>
      <c r="B246" t="s">
        <v>10</v>
      </c>
      <c r="C246" t="s">
        <v>40</v>
      </c>
      <c r="D246" t="s">
        <v>12</v>
      </c>
      <c r="E246" t="s">
        <v>17</v>
      </c>
      <c r="F246">
        <v>78</v>
      </c>
      <c r="G246">
        <v>4089</v>
      </c>
      <c r="H246">
        <v>1</v>
      </c>
      <c r="I246">
        <v>58</v>
      </c>
    </row>
    <row r="247" spans="1:9" x14ac:dyDescent="0.25">
      <c r="A247" t="s">
        <v>278</v>
      </c>
      <c r="B247" t="s">
        <v>15</v>
      </c>
      <c r="C247" t="s">
        <v>40</v>
      </c>
      <c r="D247" t="s">
        <v>29</v>
      </c>
      <c r="E247" t="s">
        <v>17</v>
      </c>
      <c r="F247">
        <v>73</v>
      </c>
      <c r="G247">
        <v>765</v>
      </c>
      <c r="H247">
        <v>5</v>
      </c>
      <c r="I247">
        <v>59</v>
      </c>
    </row>
    <row r="248" spans="1:9" x14ac:dyDescent="0.25">
      <c r="A248" t="s">
        <v>279</v>
      </c>
      <c r="B248" t="s">
        <v>10</v>
      </c>
      <c r="C248" t="s">
        <v>23</v>
      </c>
      <c r="D248" t="s">
        <v>29</v>
      </c>
      <c r="E248" t="s">
        <v>17</v>
      </c>
      <c r="F248">
        <v>10</v>
      </c>
      <c r="G248">
        <v>1375</v>
      </c>
      <c r="H248">
        <v>1</v>
      </c>
      <c r="I248">
        <v>83</v>
      </c>
    </row>
    <row r="249" spans="1:9" x14ac:dyDescent="0.25">
      <c r="A249" t="s">
        <v>280</v>
      </c>
      <c r="B249" t="s">
        <v>44</v>
      </c>
      <c r="C249" t="s">
        <v>23</v>
      </c>
      <c r="D249" t="s">
        <v>29</v>
      </c>
      <c r="E249" t="s">
        <v>13</v>
      </c>
      <c r="F249">
        <v>32</v>
      </c>
      <c r="G249">
        <v>432</v>
      </c>
      <c r="H249">
        <v>1</v>
      </c>
      <c r="I249">
        <v>97</v>
      </c>
    </row>
    <row r="250" spans="1:9" x14ac:dyDescent="0.25">
      <c r="A250" t="s">
        <v>281</v>
      </c>
      <c r="B250" t="s">
        <v>22</v>
      </c>
      <c r="C250" t="s">
        <v>23</v>
      </c>
      <c r="D250" t="s">
        <v>20</v>
      </c>
      <c r="E250" t="s">
        <v>17</v>
      </c>
      <c r="F250">
        <v>72</v>
      </c>
      <c r="G250">
        <v>441</v>
      </c>
      <c r="H250">
        <v>2</v>
      </c>
      <c r="I250">
        <v>99</v>
      </c>
    </row>
    <row r="251" spans="1:9" x14ac:dyDescent="0.25">
      <c r="A251" t="s">
        <v>282</v>
      </c>
      <c r="B251" t="s">
        <v>44</v>
      </c>
      <c r="C251" t="s">
        <v>23</v>
      </c>
      <c r="D251" t="s">
        <v>60</v>
      </c>
      <c r="E251" t="s">
        <v>37</v>
      </c>
      <c r="F251">
        <v>37</v>
      </c>
      <c r="G251">
        <v>1621</v>
      </c>
      <c r="H251">
        <v>2</v>
      </c>
      <c r="I251">
        <v>62</v>
      </c>
    </row>
    <row r="252" spans="1:9" x14ac:dyDescent="0.25">
      <c r="A252" t="s">
        <v>283</v>
      </c>
      <c r="B252" t="s">
        <v>15</v>
      </c>
      <c r="C252" t="s">
        <v>40</v>
      </c>
      <c r="D252" t="s">
        <v>31</v>
      </c>
      <c r="E252" t="s">
        <v>17</v>
      </c>
      <c r="F252">
        <v>57</v>
      </c>
      <c r="G252">
        <v>1219</v>
      </c>
      <c r="H252">
        <v>3</v>
      </c>
      <c r="I252">
        <v>92</v>
      </c>
    </row>
    <row r="253" spans="1:9" x14ac:dyDescent="0.25">
      <c r="A253" t="s">
        <v>284</v>
      </c>
      <c r="B253" t="s">
        <v>44</v>
      </c>
      <c r="C253" t="s">
        <v>11</v>
      </c>
      <c r="D253" t="s">
        <v>20</v>
      </c>
      <c r="E253" t="s">
        <v>13</v>
      </c>
      <c r="F253">
        <v>39</v>
      </c>
      <c r="G253">
        <v>18948</v>
      </c>
      <c r="H253">
        <v>7</v>
      </c>
      <c r="I253">
        <v>95</v>
      </c>
    </row>
    <row r="254" spans="1:9" x14ac:dyDescent="0.25">
      <c r="A254" t="s">
        <v>285</v>
      </c>
      <c r="B254" t="s">
        <v>10</v>
      </c>
      <c r="C254" t="s">
        <v>40</v>
      </c>
      <c r="D254" t="s">
        <v>29</v>
      </c>
      <c r="E254" t="s">
        <v>13</v>
      </c>
      <c r="F254">
        <v>16</v>
      </c>
      <c r="G254">
        <v>2146</v>
      </c>
      <c r="H254">
        <v>2</v>
      </c>
      <c r="I254">
        <v>65</v>
      </c>
    </row>
    <row r="255" spans="1:9" x14ac:dyDescent="0.25">
      <c r="A255" t="s">
        <v>286</v>
      </c>
      <c r="B255" t="s">
        <v>49</v>
      </c>
      <c r="C255" t="s">
        <v>23</v>
      </c>
      <c r="D255" t="s">
        <v>12</v>
      </c>
      <c r="E255" t="s">
        <v>17</v>
      </c>
      <c r="F255">
        <v>74</v>
      </c>
      <c r="G255">
        <v>955</v>
      </c>
      <c r="H255">
        <v>2</v>
      </c>
      <c r="I255">
        <v>85</v>
      </c>
    </row>
    <row r="256" spans="1:9" x14ac:dyDescent="0.25">
      <c r="A256" t="s">
        <v>287</v>
      </c>
      <c r="B256" t="s">
        <v>22</v>
      </c>
      <c r="C256" t="s">
        <v>11</v>
      </c>
      <c r="D256" t="s">
        <v>31</v>
      </c>
      <c r="E256" t="s">
        <v>17</v>
      </c>
      <c r="F256">
        <v>62</v>
      </c>
      <c r="G256">
        <v>13612</v>
      </c>
      <c r="H256">
        <v>11</v>
      </c>
      <c r="I256">
        <v>99</v>
      </c>
    </row>
    <row r="257" spans="1:9" x14ac:dyDescent="0.25">
      <c r="A257" t="s">
        <v>288</v>
      </c>
      <c r="B257" t="s">
        <v>25</v>
      </c>
      <c r="C257" t="s">
        <v>11</v>
      </c>
      <c r="D257" t="s">
        <v>42</v>
      </c>
      <c r="E257" t="s">
        <v>13</v>
      </c>
      <c r="F257">
        <v>83</v>
      </c>
      <c r="G257">
        <v>6215</v>
      </c>
      <c r="H257">
        <v>12</v>
      </c>
      <c r="I257">
        <v>79</v>
      </c>
    </row>
    <row r="258" spans="1:9" x14ac:dyDescent="0.25">
      <c r="A258" t="s">
        <v>289</v>
      </c>
      <c r="B258" t="s">
        <v>10</v>
      </c>
      <c r="C258" t="s">
        <v>26</v>
      </c>
      <c r="D258" t="s">
        <v>42</v>
      </c>
      <c r="E258" t="s">
        <v>13</v>
      </c>
      <c r="F258">
        <v>71</v>
      </c>
      <c r="G258">
        <v>6241</v>
      </c>
      <c r="H258">
        <v>4</v>
      </c>
      <c r="I258">
        <v>99</v>
      </c>
    </row>
    <row r="259" spans="1:9" x14ac:dyDescent="0.25">
      <c r="A259" t="s">
        <v>290</v>
      </c>
      <c r="B259" t="s">
        <v>22</v>
      </c>
      <c r="C259" t="s">
        <v>23</v>
      </c>
      <c r="D259" t="s">
        <v>20</v>
      </c>
      <c r="E259" t="s">
        <v>13</v>
      </c>
      <c r="F259">
        <v>8</v>
      </c>
      <c r="G259">
        <v>1902</v>
      </c>
      <c r="H259">
        <v>1</v>
      </c>
      <c r="I259">
        <v>83</v>
      </c>
    </row>
    <row r="260" spans="1:9" x14ac:dyDescent="0.25">
      <c r="A260" t="s">
        <v>291</v>
      </c>
      <c r="B260" t="s">
        <v>22</v>
      </c>
      <c r="C260" t="s">
        <v>26</v>
      </c>
      <c r="D260" t="s">
        <v>42</v>
      </c>
      <c r="E260" t="s">
        <v>17</v>
      </c>
      <c r="F260">
        <v>29</v>
      </c>
      <c r="G260">
        <v>3834</v>
      </c>
      <c r="H260">
        <v>10</v>
      </c>
      <c r="I260">
        <v>68</v>
      </c>
    </row>
    <row r="261" spans="1:9" x14ac:dyDescent="0.25">
      <c r="A261" t="s">
        <v>292</v>
      </c>
      <c r="B261" t="s">
        <v>49</v>
      </c>
      <c r="C261" t="s">
        <v>11</v>
      </c>
      <c r="D261" t="s">
        <v>27</v>
      </c>
      <c r="E261" t="s">
        <v>17</v>
      </c>
      <c r="F261">
        <v>71</v>
      </c>
      <c r="G261">
        <v>9496</v>
      </c>
      <c r="H261">
        <v>7</v>
      </c>
      <c r="I261">
        <v>90</v>
      </c>
    </row>
    <row r="262" spans="1:9" x14ac:dyDescent="0.25">
      <c r="A262" t="s">
        <v>293</v>
      </c>
      <c r="B262" t="s">
        <v>44</v>
      </c>
      <c r="C262" t="s">
        <v>11</v>
      </c>
      <c r="D262" t="s">
        <v>20</v>
      </c>
      <c r="E262" t="s">
        <v>13</v>
      </c>
      <c r="F262">
        <v>76</v>
      </c>
      <c r="G262">
        <v>14513</v>
      </c>
      <c r="H262">
        <v>7</v>
      </c>
      <c r="I262">
        <v>60</v>
      </c>
    </row>
    <row r="263" spans="1:9" x14ac:dyDescent="0.25">
      <c r="A263" t="s">
        <v>294</v>
      </c>
      <c r="B263" t="s">
        <v>10</v>
      </c>
      <c r="C263" t="s">
        <v>26</v>
      </c>
      <c r="D263" t="s">
        <v>16</v>
      </c>
      <c r="E263" t="s">
        <v>17</v>
      </c>
      <c r="F263">
        <v>4</v>
      </c>
      <c r="G263">
        <v>1665</v>
      </c>
      <c r="H263">
        <v>2</v>
      </c>
      <c r="I263">
        <v>91</v>
      </c>
    </row>
    <row r="264" spans="1:9" x14ac:dyDescent="0.25">
      <c r="A264" t="s">
        <v>295</v>
      </c>
      <c r="B264" t="s">
        <v>49</v>
      </c>
      <c r="C264" t="s">
        <v>26</v>
      </c>
      <c r="D264" t="s">
        <v>60</v>
      </c>
      <c r="E264" t="s">
        <v>13</v>
      </c>
      <c r="F264">
        <v>54</v>
      </c>
      <c r="G264">
        <v>6063</v>
      </c>
      <c r="H264">
        <v>2</v>
      </c>
      <c r="I264">
        <v>81</v>
      </c>
    </row>
    <row r="265" spans="1:9" x14ac:dyDescent="0.25">
      <c r="A265" t="s">
        <v>296</v>
      </c>
      <c r="B265" t="s">
        <v>10</v>
      </c>
      <c r="C265" t="s">
        <v>26</v>
      </c>
      <c r="D265" t="s">
        <v>27</v>
      </c>
      <c r="E265" t="s">
        <v>17</v>
      </c>
      <c r="F265">
        <v>88</v>
      </c>
      <c r="G265">
        <v>4326</v>
      </c>
      <c r="H265">
        <v>6</v>
      </c>
      <c r="I265">
        <v>79</v>
      </c>
    </row>
    <row r="266" spans="1:9" x14ac:dyDescent="0.25">
      <c r="A266" t="s">
        <v>297</v>
      </c>
      <c r="B266" t="s">
        <v>15</v>
      </c>
      <c r="C266" t="s">
        <v>11</v>
      </c>
      <c r="D266" t="s">
        <v>42</v>
      </c>
      <c r="E266" t="s">
        <v>17</v>
      </c>
      <c r="F266">
        <v>62</v>
      </c>
      <c r="G266">
        <v>12609</v>
      </c>
      <c r="H266">
        <v>8</v>
      </c>
      <c r="I266">
        <v>71</v>
      </c>
    </row>
    <row r="267" spans="1:9" x14ac:dyDescent="0.25">
      <c r="A267" t="s">
        <v>298</v>
      </c>
      <c r="B267" t="s">
        <v>19</v>
      </c>
      <c r="C267" t="s">
        <v>40</v>
      </c>
      <c r="D267" t="s">
        <v>29</v>
      </c>
      <c r="E267" t="s">
        <v>13</v>
      </c>
      <c r="F267">
        <v>41</v>
      </c>
      <c r="G267">
        <v>3329</v>
      </c>
      <c r="H267">
        <v>4</v>
      </c>
      <c r="I267">
        <v>58</v>
      </c>
    </row>
    <row r="268" spans="1:9" x14ac:dyDescent="0.25">
      <c r="A268" t="s">
        <v>299</v>
      </c>
      <c r="B268" t="s">
        <v>49</v>
      </c>
      <c r="C268" t="s">
        <v>26</v>
      </c>
      <c r="D268" t="s">
        <v>20</v>
      </c>
      <c r="E268" t="s">
        <v>13</v>
      </c>
      <c r="F268">
        <v>41</v>
      </c>
      <c r="G268">
        <v>2980</v>
      </c>
      <c r="H268">
        <v>9</v>
      </c>
      <c r="I268">
        <v>57</v>
      </c>
    </row>
    <row r="269" spans="1:9" x14ac:dyDescent="0.25">
      <c r="A269" t="s">
        <v>300</v>
      </c>
      <c r="B269" t="s">
        <v>44</v>
      </c>
      <c r="C269" t="s">
        <v>23</v>
      </c>
      <c r="D269" t="s">
        <v>60</v>
      </c>
      <c r="E269" t="s">
        <v>17</v>
      </c>
      <c r="F269">
        <v>7</v>
      </c>
      <c r="G269">
        <v>794</v>
      </c>
      <c r="H269">
        <v>2</v>
      </c>
      <c r="I269">
        <v>89</v>
      </c>
    </row>
    <row r="270" spans="1:9" x14ac:dyDescent="0.25">
      <c r="A270" t="s">
        <v>301</v>
      </c>
      <c r="B270" t="s">
        <v>25</v>
      </c>
      <c r="C270" t="s">
        <v>40</v>
      </c>
      <c r="D270" t="s">
        <v>42</v>
      </c>
      <c r="E270" t="s">
        <v>13</v>
      </c>
      <c r="F270">
        <v>74</v>
      </c>
      <c r="G270">
        <v>3061</v>
      </c>
      <c r="H270">
        <v>2</v>
      </c>
      <c r="I270">
        <v>98</v>
      </c>
    </row>
    <row r="271" spans="1:9" x14ac:dyDescent="0.25">
      <c r="A271" t="s">
        <v>302</v>
      </c>
      <c r="B271" t="s">
        <v>22</v>
      </c>
      <c r="C271" t="s">
        <v>23</v>
      </c>
      <c r="D271" t="s">
        <v>20</v>
      </c>
      <c r="E271" t="s">
        <v>17</v>
      </c>
      <c r="F271">
        <v>40</v>
      </c>
      <c r="G271">
        <v>1218</v>
      </c>
      <c r="H271">
        <v>1</v>
      </c>
      <c r="I271">
        <v>55</v>
      </c>
    </row>
    <row r="272" spans="1:9" x14ac:dyDescent="0.25">
      <c r="A272" t="s">
        <v>303</v>
      </c>
      <c r="B272" t="s">
        <v>25</v>
      </c>
      <c r="C272" t="s">
        <v>23</v>
      </c>
      <c r="D272" t="s">
        <v>60</v>
      </c>
      <c r="E272" t="s">
        <v>17</v>
      </c>
      <c r="F272">
        <v>46</v>
      </c>
      <c r="G272">
        <v>299</v>
      </c>
      <c r="H272">
        <v>1</v>
      </c>
      <c r="I272">
        <v>68</v>
      </c>
    </row>
    <row r="273" spans="1:9" x14ac:dyDescent="0.25">
      <c r="A273" t="s">
        <v>304</v>
      </c>
      <c r="B273" t="s">
        <v>25</v>
      </c>
      <c r="C273" t="s">
        <v>23</v>
      </c>
      <c r="D273" t="s">
        <v>27</v>
      </c>
      <c r="E273" t="s">
        <v>13</v>
      </c>
      <c r="F273">
        <v>14</v>
      </c>
      <c r="G273">
        <v>1082</v>
      </c>
      <c r="H273">
        <v>1</v>
      </c>
      <c r="I273">
        <v>66</v>
      </c>
    </row>
    <row r="274" spans="1:9" x14ac:dyDescent="0.25">
      <c r="A274" t="s">
        <v>305</v>
      </c>
      <c r="B274" t="s">
        <v>10</v>
      </c>
      <c r="C274" t="s">
        <v>26</v>
      </c>
      <c r="D274" t="s">
        <v>47</v>
      </c>
      <c r="E274" t="s">
        <v>17</v>
      </c>
      <c r="F274">
        <v>52</v>
      </c>
      <c r="G274">
        <v>1419</v>
      </c>
      <c r="H274">
        <v>10</v>
      </c>
      <c r="I274">
        <v>62</v>
      </c>
    </row>
    <row r="275" spans="1:9" x14ac:dyDescent="0.25">
      <c r="A275" t="s">
        <v>306</v>
      </c>
      <c r="B275" t="s">
        <v>44</v>
      </c>
      <c r="C275" t="s">
        <v>26</v>
      </c>
      <c r="D275" t="s">
        <v>31</v>
      </c>
      <c r="E275" t="s">
        <v>17</v>
      </c>
      <c r="F275">
        <v>58</v>
      </c>
      <c r="G275">
        <v>5504</v>
      </c>
      <c r="H275">
        <v>6</v>
      </c>
      <c r="I275">
        <v>89</v>
      </c>
    </row>
    <row r="276" spans="1:9" x14ac:dyDescent="0.25">
      <c r="A276" t="s">
        <v>307</v>
      </c>
      <c r="B276" t="s">
        <v>10</v>
      </c>
      <c r="C276" t="s">
        <v>11</v>
      </c>
      <c r="D276" t="s">
        <v>42</v>
      </c>
      <c r="E276" t="s">
        <v>13</v>
      </c>
      <c r="F276">
        <v>51</v>
      </c>
      <c r="G276">
        <v>11114</v>
      </c>
      <c r="H276">
        <v>10</v>
      </c>
      <c r="I276">
        <v>85</v>
      </c>
    </row>
    <row r="277" spans="1:9" x14ac:dyDescent="0.25">
      <c r="A277" t="s">
        <v>308</v>
      </c>
      <c r="B277" t="s">
        <v>44</v>
      </c>
      <c r="C277" t="s">
        <v>40</v>
      </c>
      <c r="D277" t="s">
        <v>60</v>
      </c>
      <c r="E277" t="s">
        <v>13</v>
      </c>
      <c r="F277">
        <v>52</v>
      </c>
      <c r="G277">
        <v>4596</v>
      </c>
      <c r="H277">
        <v>1</v>
      </c>
      <c r="I277">
        <v>52</v>
      </c>
    </row>
    <row r="278" spans="1:9" x14ac:dyDescent="0.25">
      <c r="A278" t="s">
        <v>309</v>
      </c>
      <c r="B278" t="s">
        <v>15</v>
      </c>
      <c r="C278" t="s">
        <v>40</v>
      </c>
      <c r="D278" t="s">
        <v>29</v>
      </c>
      <c r="E278" t="s">
        <v>13</v>
      </c>
      <c r="F278">
        <v>67</v>
      </c>
      <c r="G278">
        <v>4243</v>
      </c>
      <c r="H278">
        <v>2</v>
      </c>
      <c r="I278">
        <v>88</v>
      </c>
    </row>
    <row r="279" spans="1:9" x14ac:dyDescent="0.25">
      <c r="A279" t="s">
        <v>310</v>
      </c>
      <c r="B279" t="s">
        <v>19</v>
      </c>
      <c r="C279" t="s">
        <v>40</v>
      </c>
      <c r="D279" t="s">
        <v>29</v>
      </c>
      <c r="E279" t="s">
        <v>13</v>
      </c>
      <c r="F279">
        <v>41</v>
      </c>
      <c r="G279">
        <v>1831</v>
      </c>
      <c r="H279">
        <v>4</v>
      </c>
      <c r="I279">
        <v>89</v>
      </c>
    </row>
    <row r="280" spans="1:9" x14ac:dyDescent="0.25">
      <c r="A280" t="s">
        <v>311</v>
      </c>
      <c r="B280" t="s">
        <v>10</v>
      </c>
      <c r="C280" t="s">
        <v>26</v>
      </c>
      <c r="D280" t="s">
        <v>16</v>
      </c>
      <c r="E280" t="s">
        <v>17</v>
      </c>
      <c r="F280">
        <v>66</v>
      </c>
      <c r="G280">
        <v>5360</v>
      </c>
      <c r="H280">
        <v>9</v>
      </c>
      <c r="I280">
        <v>95</v>
      </c>
    </row>
    <row r="281" spans="1:9" x14ac:dyDescent="0.25">
      <c r="A281" t="s">
        <v>312</v>
      </c>
      <c r="B281" t="s">
        <v>19</v>
      </c>
      <c r="C281" t="s">
        <v>26</v>
      </c>
      <c r="D281" t="s">
        <v>34</v>
      </c>
      <c r="E281" t="s">
        <v>13</v>
      </c>
      <c r="F281">
        <v>48</v>
      </c>
      <c r="G281">
        <v>3713</v>
      </c>
      <c r="H281">
        <v>3</v>
      </c>
      <c r="I281">
        <v>76</v>
      </c>
    </row>
    <row r="282" spans="1:9" x14ac:dyDescent="0.25">
      <c r="A282" t="s">
        <v>313</v>
      </c>
      <c r="B282" t="s">
        <v>19</v>
      </c>
      <c r="C282" t="s">
        <v>26</v>
      </c>
      <c r="D282" t="s">
        <v>12</v>
      </c>
      <c r="E282" t="s">
        <v>13</v>
      </c>
      <c r="F282">
        <v>34</v>
      </c>
      <c r="G282">
        <v>6370</v>
      </c>
      <c r="H282">
        <v>5</v>
      </c>
      <c r="I282">
        <v>96</v>
      </c>
    </row>
    <row r="283" spans="1:9" x14ac:dyDescent="0.25">
      <c r="A283" t="s">
        <v>314</v>
      </c>
      <c r="B283" t="s">
        <v>15</v>
      </c>
      <c r="C283" t="s">
        <v>23</v>
      </c>
      <c r="D283" t="s">
        <v>42</v>
      </c>
      <c r="E283" t="s">
        <v>13</v>
      </c>
      <c r="F283">
        <v>80</v>
      </c>
      <c r="G283">
        <v>1786</v>
      </c>
      <c r="H283">
        <v>2</v>
      </c>
      <c r="I283">
        <v>59</v>
      </c>
    </row>
    <row r="284" spans="1:9" x14ac:dyDescent="0.25">
      <c r="A284" t="s">
        <v>315</v>
      </c>
      <c r="B284" t="s">
        <v>49</v>
      </c>
      <c r="C284" t="s">
        <v>40</v>
      </c>
      <c r="D284" t="s">
        <v>12</v>
      </c>
      <c r="E284" t="s">
        <v>13</v>
      </c>
      <c r="F284">
        <v>90</v>
      </c>
      <c r="G284">
        <v>1400</v>
      </c>
      <c r="H284">
        <v>2</v>
      </c>
      <c r="I284">
        <v>51</v>
      </c>
    </row>
    <row r="285" spans="1:9" x14ac:dyDescent="0.25">
      <c r="A285" t="s">
        <v>316</v>
      </c>
      <c r="B285" t="s">
        <v>25</v>
      </c>
      <c r="C285" t="s">
        <v>26</v>
      </c>
      <c r="D285" t="s">
        <v>47</v>
      </c>
      <c r="E285" t="s">
        <v>17</v>
      </c>
      <c r="F285">
        <v>89</v>
      </c>
      <c r="G285">
        <v>2670</v>
      </c>
      <c r="H285">
        <v>8</v>
      </c>
      <c r="I285">
        <v>82</v>
      </c>
    </row>
    <row r="286" spans="1:9" x14ac:dyDescent="0.25">
      <c r="A286" t="s">
        <v>317</v>
      </c>
      <c r="B286" t="s">
        <v>49</v>
      </c>
      <c r="C286" t="s">
        <v>23</v>
      </c>
      <c r="D286" t="s">
        <v>12</v>
      </c>
      <c r="E286" t="s">
        <v>13</v>
      </c>
      <c r="F286">
        <v>67</v>
      </c>
      <c r="G286">
        <v>624</v>
      </c>
      <c r="H286">
        <v>3</v>
      </c>
      <c r="I286">
        <v>70</v>
      </c>
    </row>
    <row r="287" spans="1:9" x14ac:dyDescent="0.25">
      <c r="A287" t="s">
        <v>318</v>
      </c>
      <c r="B287" t="s">
        <v>10</v>
      </c>
      <c r="C287" t="s">
        <v>23</v>
      </c>
      <c r="D287" t="s">
        <v>20</v>
      </c>
      <c r="E287" t="s">
        <v>17</v>
      </c>
      <c r="F287">
        <v>23</v>
      </c>
      <c r="G287">
        <v>1141</v>
      </c>
      <c r="H287">
        <v>3</v>
      </c>
      <c r="I287">
        <v>71</v>
      </c>
    </row>
    <row r="288" spans="1:9" x14ac:dyDescent="0.25">
      <c r="A288" t="s">
        <v>319</v>
      </c>
      <c r="B288" t="s">
        <v>19</v>
      </c>
      <c r="C288" t="s">
        <v>26</v>
      </c>
      <c r="D288" t="s">
        <v>27</v>
      </c>
      <c r="E288" t="s">
        <v>13</v>
      </c>
      <c r="F288">
        <v>25</v>
      </c>
      <c r="G288">
        <v>3019</v>
      </c>
      <c r="H288">
        <v>6</v>
      </c>
      <c r="I288">
        <v>85</v>
      </c>
    </row>
    <row r="289" spans="1:9" x14ac:dyDescent="0.25">
      <c r="A289" t="s">
        <v>320</v>
      </c>
      <c r="B289" t="s">
        <v>44</v>
      </c>
      <c r="C289" t="s">
        <v>40</v>
      </c>
      <c r="D289" t="s">
        <v>27</v>
      </c>
      <c r="E289" t="s">
        <v>13</v>
      </c>
      <c r="F289">
        <v>27</v>
      </c>
      <c r="G289">
        <v>4505</v>
      </c>
      <c r="H289">
        <v>3</v>
      </c>
      <c r="I289">
        <v>80</v>
      </c>
    </row>
    <row r="290" spans="1:9" x14ac:dyDescent="0.25">
      <c r="A290" t="s">
        <v>321</v>
      </c>
      <c r="B290" t="s">
        <v>44</v>
      </c>
      <c r="C290" t="s">
        <v>26</v>
      </c>
      <c r="D290" t="s">
        <v>27</v>
      </c>
      <c r="E290" t="s">
        <v>17</v>
      </c>
      <c r="F290">
        <v>87</v>
      </c>
      <c r="G290">
        <v>5449</v>
      </c>
      <c r="H290">
        <v>8</v>
      </c>
      <c r="I290">
        <v>75</v>
      </c>
    </row>
    <row r="291" spans="1:9" x14ac:dyDescent="0.25">
      <c r="A291" t="s">
        <v>322</v>
      </c>
      <c r="B291" t="s">
        <v>49</v>
      </c>
      <c r="C291" t="s">
        <v>26</v>
      </c>
      <c r="D291" t="s">
        <v>42</v>
      </c>
      <c r="E291" t="s">
        <v>17</v>
      </c>
      <c r="F291">
        <v>37</v>
      </c>
      <c r="G291">
        <v>6850</v>
      </c>
      <c r="H291">
        <v>3</v>
      </c>
      <c r="I291">
        <v>72</v>
      </c>
    </row>
    <row r="292" spans="1:9" x14ac:dyDescent="0.25">
      <c r="A292" t="s">
        <v>323</v>
      </c>
      <c r="B292" t="s">
        <v>25</v>
      </c>
      <c r="C292" t="s">
        <v>26</v>
      </c>
      <c r="D292" t="s">
        <v>34</v>
      </c>
      <c r="E292" t="s">
        <v>17</v>
      </c>
      <c r="F292">
        <v>69</v>
      </c>
      <c r="G292">
        <v>3221</v>
      </c>
      <c r="H292">
        <v>10</v>
      </c>
      <c r="I292">
        <v>94</v>
      </c>
    </row>
    <row r="293" spans="1:9" x14ac:dyDescent="0.25">
      <c r="A293" t="s">
        <v>324</v>
      </c>
      <c r="B293" t="s">
        <v>44</v>
      </c>
      <c r="C293" t="s">
        <v>40</v>
      </c>
      <c r="D293" t="s">
        <v>31</v>
      </c>
      <c r="E293" t="s">
        <v>13</v>
      </c>
      <c r="F293">
        <v>76</v>
      </c>
      <c r="G293">
        <v>2460</v>
      </c>
      <c r="H293">
        <v>2</v>
      </c>
      <c r="I293">
        <v>53</v>
      </c>
    </row>
    <row r="294" spans="1:9" x14ac:dyDescent="0.25">
      <c r="A294" t="s">
        <v>325</v>
      </c>
      <c r="B294" t="s">
        <v>10</v>
      </c>
      <c r="C294" t="s">
        <v>40</v>
      </c>
      <c r="D294" t="s">
        <v>60</v>
      </c>
      <c r="E294" t="s">
        <v>17</v>
      </c>
      <c r="F294">
        <v>53</v>
      </c>
      <c r="G294">
        <v>3205</v>
      </c>
      <c r="H294">
        <v>4</v>
      </c>
      <c r="I294">
        <v>56</v>
      </c>
    </row>
    <row r="295" spans="1:9" x14ac:dyDescent="0.25">
      <c r="A295" t="s">
        <v>326</v>
      </c>
      <c r="B295" t="s">
        <v>10</v>
      </c>
      <c r="C295" t="s">
        <v>40</v>
      </c>
      <c r="D295" t="s">
        <v>12</v>
      </c>
      <c r="E295" t="s">
        <v>13</v>
      </c>
      <c r="F295">
        <v>21</v>
      </c>
      <c r="G295">
        <v>3833</v>
      </c>
      <c r="H295">
        <v>4</v>
      </c>
      <c r="I295">
        <v>80</v>
      </c>
    </row>
    <row r="296" spans="1:9" x14ac:dyDescent="0.25">
      <c r="A296" t="s">
        <v>327</v>
      </c>
      <c r="B296" t="s">
        <v>10</v>
      </c>
      <c r="C296" t="s">
        <v>40</v>
      </c>
      <c r="D296" t="s">
        <v>27</v>
      </c>
      <c r="E296" t="s">
        <v>17</v>
      </c>
      <c r="F296">
        <v>83</v>
      </c>
      <c r="G296">
        <v>984</v>
      </c>
      <c r="H296">
        <v>1</v>
      </c>
      <c r="I296">
        <v>91</v>
      </c>
    </row>
    <row r="297" spans="1:9" x14ac:dyDescent="0.25">
      <c r="A297" t="s">
        <v>328</v>
      </c>
      <c r="B297" t="s">
        <v>19</v>
      </c>
      <c r="C297" t="s">
        <v>40</v>
      </c>
      <c r="D297" t="s">
        <v>20</v>
      </c>
      <c r="E297" t="s">
        <v>13</v>
      </c>
      <c r="F297">
        <v>5</v>
      </c>
      <c r="G297">
        <v>1934</v>
      </c>
      <c r="H297">
        <v>4</v>
      </c>
      <c r="I297">
        <v>61</v>
      </c>
    </row>
    <row r="298" spans="1:9" x14ac:dyDescent="0.25">
      <c r="A298" t="s">
        <v>329</v>
      </c>
      <c r="B298" t="s">
        <v>15</v>
      </c>
      <c r="C298" t="s">
        <v>23</v>
      </c>
      <c r="D298" t="s">
        <v>34</v>
      </c>
      <c r="E298" t="s">
        <v>17</v>
      </c>
      <c r="F298">
        <v>38</v>
      </c>
      <c r="G298">
        <v>1995</v>
      </c>
      <c r="H298">
        <v>1</v>
      </c>
      <c r="I298">
        <v>50</v>
      </c>
    </row>
    <row r="299" spans="1:9" x14ac:dyDescent="0.25">
      <c r="A299" t="s">
        <v>330</v>
      </c>
      <c r="B299" t="s">
        <v>44</v>
      </c>
      <c r="C299" t="s">
        <v>11</v>
      </c>
      <c r="D299" t="s">
        <v>29</v>
      </c>
      <c r="E299" t="s">
        <v>17</v>
      </c>
      <c r="F299">
        <v>83</v>
      </c>
      <c r="G299">
        <v>13901</v>
      </c>
      <c r="H299">
        <v>13</v>
      </c>
      <c r="I299">
        <v>81</v>
      </c>
    </row>
    <row r="300" spans="1:9" x14ac:dyDescent="0.25">
      <c r="A300" t="s">
        <v>331</v>
      </c>
      <c r="B300" t="s">
        <v>22</v>
      </c>
      <c r="C300" t="s">
        <v>23</v>
      </c>
      <c r="D300" t="s">
        <v>27</v>
      </c>
      <c r="E300" t="s">
        <v>17</v>
      </c>
      <c r="F300">
        <v>15</v>
      </c>
      <c r="G300">
        <v>877</v>
      </c>
      <c r="H300">
        <v>1</v>
      </c>
      <c r="I300">
        <v>96</v>
      </c>
    </row>
    <row r="301" spans="1:9" x14ac:dyDescent="0.25">
      <c r="A301" t="s">
        <v>332</v>
      </c>
      <c r="B301" t="s">
        <v>25</v>
      </c>
      <c r="C301" t="s">
        <v>26</v>
      </c>
      <c r="D301" t="s">
        <v>42</v>
      </c>
      <c r="E301" t="s">
        <v>17</v>
      </c>
      <c r="F301">
        <v>44</v>
      </c>
      <c r="G301">
        <v>3416</v>
      </c>
      <c r="H301">
        <v>5</v>
      </c>
      <c r="I301">
        <v>61</v>
      </c>
    </row>
    <row r="302" spans="1:9" x14ac:dyDescent="0.25">
      <c r="A302" t="s">
        <v>333</v>
      </c>
      <c r="B302" t="s">
        <v>19</v>
      </c>
      <c r="C302" t="s">
        <v>23</v>
      </c>
      <c r="D302" t="s">
        <v>47</v>
      </c>
      <c r="E302" t="s">
        <v>13</v>
      </c>
      <c r="F302">
        <v>12</v>
      </c>
      <c r="G302">
        <v>1020</v>
      </c>
      <c r="H302">
        <v>3</v>
      </c>
      <c r="I302">
        <v>56</v>
      </c>
    </row>
    <row r="303" spans="1:9" x14ac:dyDescent="0.25">
      <c r="A303" t="s">
        <v>334</v>
      </c>
      <c r="B303" t="s">
        <v>22</v>
      </c>
      <c r="C303" t="s">
        <v>40</v>
      </c>
      <c r="D303" t="s">
        <v>34</v>
      </c>
      <c r="E303" t="s">
        <v>17</v>
      </c>
      <c r="F303">
        <v>32</v>
      </c>
      <c r="G303">
        <v>555</v>
      </c>
      <c r="H303">
        <v>3</v>
      </c>
      <c r="I303">
        <v>74</v>
      </c>
    </row>
    <row r="304" spans="1:9" x14ac:dyDescent="0.25">
      <c r="A304" t="s">
        <v>335</v>
      </c>
      <c r="B304" t="s">
        <v>22</v>
      </c>
      <c r="C304" t="s">
        <v>23</v>
      </c>
      <c r="D304" t="s">
        <v>27</v>
      </c>
      <c r="E304" t="s">
        <v>13</v>
      </c>
      <c r="F304">
        <v>39</v>
      </c>
      <c r="G304">
        <v>1392</v>
      </c>
      <c r="H304">
        <v>3</v>
      </c>
      <c r="I304">
        <v>86</v>
      </c>
    </row>
    <row r="305" spans="1:9" x14ac:dyDescent="0.25">
      <c r="A305" t="s">
        <v>336</v>
      </c>
      <c r="B305" t="s">
        <v>15</v>
      </c>
      <c r="C305" t="s">
        <v>26</v>
      </c>
      <c r="D305" t="s">
        <v>29</v>
      </c>
      <c r="E305" t="s">
        <v>13</v>
      </c>
      <c r="F305">
        <v>8</v>
      </c>
      <c r="G305">
        <v>6470</v>
      </c>
      <c r="H305">
        <v>3</v>
      </c>
      <c r="I305">
        <v>79</v>
      </c>
    </row>
    <row r="306" spans="1:9" x14ac:dyDescent="0.25">
      <c r="A306" t="s">
        <v>337</v>
      </c>
      <c r="B306" t="s">
        <v>44</v>
      </c>
      <c r="C306" t="s">
        <v>40</v>
      </c>
      <c r="D306" t="s">
        <v>47</v>
      </c>
      <c r="E306" t="s">
        <v>13</v>
      </c>
      <c r="F306">
        <v>40</v>
      </c>
      <c r="G306">
        <v>1461</v>
      </c>
      <c r="H306">
        <v>3</v>
      </c>
      <c r="I306">
        <v>73</v>
      </c>
    </row>
    <row r="307" spans="1:9" x14ac:dyDescent="0.25">
      <c r="A307" t="s">
        <v>338</v>
      </c>
      <c r="B307" t="s">
        <v>19</v>
      </c>
      <c r="C307" t="s">
        <v>40</v>
      </c>
      <c r="D307" t="s">
        <v>60</v>
      </c>
      <c r="E307" t="s">
        <v>13</v>
      </c>
      <c r="F307">
        <v>62</v>
      </c>
      <c r="G307">
        <v>1754</v>
      </c>
      <c r="H307">
        <v>4</v>
      </c>
      <c r="I307">
        <v>97</v>
      </c>
    </row>
    <row r="308" spans="1:9" x14ac:dyDescent="0.25">
      <c r="A308" t="s">
        <v>339</v>
      </c>
      <c r="B308" t="s">
        <v>19</v>
      </c>
      <c r="C308" t="s">
        <v>26</v>
      </c>
      <c r="D308" t="s">
        <v>47</v>
      </c>
      <c r="E308" t="s">
        <v>13</v>
      </c>
      <c r="F308">
        <v>61</v>
      </c>
      <c r="G308">
        <v>5403</v>
      </c>
      <c r="H308">
        <v>5</v>
      </c>
      <c r="I308">
        <v>98</v>
      </c>
    </row>
    <row r="309" spans="1:9" x14ac:dyDescent="0.25">
      <c r="A309" t="s">
        <v>340</v>
      </c>
      <c r="B309" t="s">
        <v>22</v>
      </c>
      <c r="C309" t="s">
        <v>11</v>
      </c>
      <c r="D309" t="s">
        <v>20</v>
      </c>
      <c r="E309" t="s">
        <v>17</v>
      </c>
      <c r="F309">
        <v>47</v>
      </c>
      <c r="G309">
        <v>6279</v>
      </c>
      <c r="H309">
        <v>14</v>
      </c>
      <c r="I309">
        <v>57</v>
      </c>
    </row>
    <row r="310" spans="1:9" x14ac:dyDescent="0.25">
      <c r="A310" t="s">
        <v>341</v>
      </c>
      <c r="B310" t="s">
        <v>15</v>
      </c>
      <c r="C310" t="s">
        <v>40</v>
      </c>
      <c r="D310" t="s">
        <v>16</v>
      </c>
      <c r="E310" t="s">
        <v>13</v>
      </c>
      <c r="F310">
        <v>22</v>
      </c>
      <c r="G310">
        <v>3187</v>
      </c>
      <c r="H310">
        <v>5</v>
      </c>
      <c r="I310">
        <v>78</v>
      </c>
    </row>
    <row r="311" spans="1:9" x14ac:dyDescent="0.25">
      <c r="A311" t="s">
        <v>342</v>
      </c>
      <c r="B311" t="s">
        <v>15</v>
      </c>
      <c r="C311" t="s">
        <v>40</v>
      </c>
      <c r="D311" t="s">
        <v>16</v>
      </c>
      <c r="E311" t="s">
        <v>17</v>
      </c>
      <c r="F311">
        <v>66</v>
      </c>
      <c r="G311">
        <v>4149</v>
      </c>
      <c r="H311">
        <v>1</v>
      </c>
      <c r="I311">
        <v>79</v>
      </c>
    </row>
    <row r="312" spans="1:9" x14ac:dyDescent="0.25">
      <c r="A312" t="s">
        <v>343</v>
      </c>
      <c r="B312" t="s">
        <v>22</v>
      </c>
      <c r="C312" t="s">
        <v>23</v>
      </c>
      <c r="D312" t="s">
        <v>34</v>
      </c>
      <c r="E312" t="s">
        <v>13</v>
      </c>
      <c r="F312">
        <v>72</v>
      </c>
      <c r="G312">
        <v>1146</v>
      </c>
      <c r="H312">
        <v>3</v>
      </c>
      <c r="I312">
        <v>69</v>
      </c>
    </row>
    <row r="313" spans="1:9" x14ac:dyDescent="0.25">
      <c r="A313" t="s">
        <v>344</v>
      </c>
      <c r="B313" t="s">
        <v>10</v>
      </c>
      <c r="C313" t="s">
        <v>11</v>
      </c>
      <c r="D313" t="s">
        <v>47</v>
      </c>
      <c r="E313" t="s">
        <v>17</v>
      </c>
      <c r="F313">
        <v>1</v>
      </c>
      <c r="G313">
        <v>17219</v>
      </c>
      <c r="H313">
        <v>8</v>
      </c>
      <c r="I313">
        <v>87</v>
      </c>
    </row>
    <row r="314" spans="1:9" x14ac:dyDescent="0.25">
      <c r="A314" t="s">
        <v>345</v>
      </c>
      <c r="B314" t="s">
        <v>15</v>
      </c>
      <c r="C314" t="s">
        <v>11</v>
      </c>
      <c r="D314" t="s">
        <v>47</v>
      </c>
      <c r="E314" t="s">
        <v>17</v>
      </c>
      <c r="F314">
        <v>9</v>
      </c>
      <c r="G314">
        <v>13866</v>
      </c>
      <c r="H314">
        <v>5</v>
      </c>
      <c r="I314">
        <v>54</v>
      </c>
    </row>
    <row r="315" spans="1:9" x14ac:dyDescent="0.25">
      <c r="A315" t="s">
        <v>346</v>
      </c>
      <c r="B315" t="s">
        <v>25</v>
      </c>
      <c r="C315" t="s">
        <v>11</v>
      </c>
      <c r="D315" t="s">
        <v>27</v>
      </c>
      <c r="E315" t="s">
        <v>17</v>
      </c>
      <c r="F315">
        <v>18</v>
      </c>
      <c r="G315">
        <v>17547</v>
      </c>
      <c r="H315">
        <v>15</v>
      </c>
      <c r="I315">
        <v>96</v>
      </c>
    </row>
    <row r="316" spans="1:9" x14ac:dyDescent="0.25">
      <c r="A316" t="s">
        <v>347</v>
      </c>
      <c r="B316" t="s">
        <v>10</v>
      </c>
      <c r="C316" t="s">
        <v>23</v>
      </c>
      <c r="D316" t="s">
        <v>29</v>
      </c>
      <c r="E316" t="s">
        <v>37</v>
      </c>
      <c r="F316">
        <v>49</v>
      </c>
      <c r="G316">
        <v>1118</v>
      </c>
      <c r="H316">
        <v>2</v>
      </c>
      <c r="I316">
        <v>74</v>
      </c>
    </row>
    <row r="317" spans="1:9" x14ac:dyDescent="0.25">
      <c r="A317" t="s">
        <v>348</v>
      </c>
      <c r="B317" t="s">
        <v>15</v>
      </c>
      <c r="C317" t="s">
        <v>40</v>
      </c>
      <c r="D317" t="s">
        <v>29</v>
      </c>
      <c r="E317" t="s">
        <v>17</v>
      </c>
      <c r="F317">
        <v>69</v>
      </c>
      <c r="G317">
        <v>3719</v>
      </c>
      <c r="H317">
        <v>5</v>
      </c>
      <c r="I317">
        <v>58</v>
      </c>
    </row>
    <row r="318" spans="1:9" x14ac:dyDescent="0.25">
      <c r="A318" t="s">
        <v>349</v>
      </c>
      <c r="B318" t="s">
        <v>10</v>
      </c>
      <c r="C318" t="s">
        <v>40</v>
      </c>
      <c r="D318" t="s">
        <v>12</v>
      </c>
      <c r="E318" t="s">
        <v>13</v>
      </c>
      <c r="F318">
        <v>39</v>
      </c>
      <c r="G318">
        <v>4292</v>
      </c>
      <c r="H318">
        <v>5</v>
      </c>
      <c r="I318">
        <v>77</v>
      </c>
    </row>
    <row r="319" spans="1:9" x14ac:dyDescent="0.25">
      <c r="A319" t="s">
        <v>350</v>
      </c>
      <c r="B319" t="s">
        <v>19</v>
      </c>
      <c r="C319" t="s">
        <v>23</v>
      </c>
      <c r="D319" t="s">
        <v>60</v>
      </c>
      <c r="E319" t="s">
        <v>17</v>
      </c>
      <c r="F319">
        <v>45</v>
      </c>
      <c r="G319">
        <v>517</v>
      </c>
      <c r="H319">
        <v>2</v>
      </c>
      <c r="I319">
        <v>62</v>
      </c>
    </row>
    <row r="320" spans="1:9" x14ac:dyDescent="0.25">
      <c r="A320" t="s">
        <v>351</v>
      </c>
      <c r="B320" t="s">
        <v>10</v>
      </c>
      <c r="C320" t="s">
        <v>11</v>
      </c>
      <c r="D320" t="s">
        <v>12</v>
      </c>
      <c r="E320" t="s">
        <v>13</v>
      </c>
      <c r="F320">
        <v>54</v>
      </c>
      <c r="G320">
        <v>15074</v>
      </c>
      <c r="H320">
        <v>5</v>
      </c>
      <c r="I320">
        <v>65</v>
      </c>
    </row>
    <row r="321" spans="1:9" x14ac:dyDescent="0.25">
      <c r="A321" t="s">
        <v>352</v>
      </c>
      <c r="B321" t="s">
        <v>22</v>
      </c>
      <c r="C321" t="s">
        <v>11</v>
      </c>
      <c r="D321" t="s">
        <v>31</v>
      </c>
      <c r="E321" t="s">
        <v>13</v>
      </c>
      <c r="F321">
        <v>58</v>
      </c>
      <c r="G321">
        <v>14794</v>
      </c>
      <c r="H321">
        <v>15</v>
      </c>
      <c r="I321">
        <v>95</v>
      </c>
    </row>
    <row r="322" spans="1:9" x14ac:dyDescent="0.25">
      <c r="A322" t="s">
        <v>353</v>
      </c>
      <c r="B322" t="s">
        <v>49</v>
      </c>
      <c r="C322" t="s">
        <v>11</v>
      </c>
      <c r="D322" t="s">
        <v>60</v>
      </c>
      <c r="E322" t="s">
        <v>13</v>
      </c>
      <c r="F322">
        <v>52</v>
      </c>
      <c r="G322">
        <v>12191</v>
      </c>
      <c r="H322">
        <v>8</v>
      </c>
      <c r="I322">
        <v>84</v>
      </c>
    </row>
    <row r="323" spans="1:9" x14ac:dyDescent="0.25">
      <c r="A323" t="s">
        <v>354</v>
      </c>
      <c r="B323" t="s">
        <v>22</v>
      </c>
      <c r="C323" t="s">
        <v>11</v>
      </c>
      <c r="D323" t="s">
        <v>42</v>
      </c>
      <c r="E323" t="s">
        <v>13</v>
      </c>
      <c r="F323">
        <v>38</v>
      </c>
      <c r="G323">
        <v>8836</v>
      </c>
      <c r="H323">
        <v>14</v>
      </c>
      <c r="I323">
        <v>70</v>
      </c>
    </row>
    <row r="324" spans="1:9" x14ac:dyDescent="0.25">
      <c r="A324" t="s">
        <v>355</v>
      </c>
      <c r="B324" t="s">
        <v>19</v>
      </c>
      <c r="C324" t="s">
        <v>26</v>
      </c>
      <c r="D324" t="s">
        <v>60</v>
      </c>
      <c r="E324" t="s">
        <v>17</v>
      </c>
      <c r="F324">
        <v>19</v>
      </c>
      <c r="G324">
        <v>6408</v>
      </c>
      <c r="H324">
        <v>10</v>
      </c>
      <c r="I324">
        <v>64</v>
      </c>
    </row>
    <row r="325" spans="1:9" x14ac:dyDescent="0.25">
      <c r="A325" t="s">
        <v>356</v>
      </c>
      <c r="B325" t="s">
        <v>25</v>
      </c>
      <c r="C325" t="s">
        <v>26</v>
      </c>
      <c r="D325" t="s">
        <v>27</v>
      </c>
      <c r="E325" t="s">
        <v>17</v>
      </c>
      <c r="F325">
        <v>76</v>
      </c>
      <c r="G325">
        <v>2434</v>
      </c>
      <c r="H325">
        <v>8</v>
      </c>
      <c r="I325">
        <v>85</v>
      </c>
    </row>
    <row r="326" spans="1:9" x14ac:dyDescent="0.25">
      <c r="A326" t="s">
        <v>357</v>
      </c>
      <c r="B326" t="s">
        <v>25</v>
      </c>
      <c r="C326" t="s">
        <v>11</v>
      </c>
      <c r="D326" t="s">
        <v>29</v>
      </c>
      <c r="E326" t="s">
        <v>13</v>
      </c>
      <c r="F326">
        <v>86</v>
      </c>
      <c r="G326">
        <v>11244</v>
      </c>
      <c r="H326">
        <v>13</v>
      </c>
      <c r="I326">
        <v>70</v>
      </c>
    </row>
    <row r="327" spans="1:9" x14ac:dyDescent="0.25">
      <c r="A327" t="s">
        <v>358</v>
      </c>
      <c r="B327" t="s">
        <v>10</v>
      </c>
      <c r="C327" t="s">
        <v>23</v>
      </c>
      <c r="D327" t="s">
        <v>47</v>
      </c>
      <c r="E327" t="s">
        <v>17</v>
      </c>
      <c r="F327">
        <v>49</v>
      </c>
      <c r="G327">
        <v>576</v>
      </c>
      <c r="H327">
        <v>3</v>
      </c>
      <c r="I327">
        <v>80</v>
      </c>
    </row>
    <row r="328" spans="1:9" x14ac:dyDescent="0.25">
      <c r="A328" t="s">
        <v>359</v>
      </c>
      <c r="B328" t="s">
        <v>22</v>
      </c>
      <c r="C328" t="s">
        <v>40</v>
      </c>
      <c r="D328" t="s">
        <v>27</v>
      </c>
      <c r="E328" t="s">
        <v>13</v>
      </c>
      <c r="F328">
        <v>19</v>
      </c>
      <c r="G328">
        <v>4293</v>
      </c>
      <c r="H328">
        <v>1</v>
      </c>
      <c r="I328">
        <v>85</v>
      </c>
    </row>
    <row r="329" spans="1:9" x14ac:dyDescent="0.25">
      <c r="A329" t="s">
        <v>360</v>
      </c>
      <c r="B329" t="s">
        <v>25</v>
      </c>
      <c r="C329" t="s">
        <v>23</v>
      </c>
      <c r="D329" t="s">
        <v>20</v>
      </c>
      <c r="E329" t="s">
        <v>13</v>
      </c>
      <c r="F329">
        <v>50</v>
      </c>
      <c r="G329">
        <v>697</v>
      </c>
      <c r="H329">
        <v>2</v>
      </c>
      <c r="I329">
        <v>63</v>
      </c>
    </row>
    <row r="330" spans="1:9" x14ac:dyDescent="0.25">
      <c r="A330" t="s">
        <v>361</v>
      </c>
      <c r="B330" t="s">
        <v>44</v>
      </c>
      <c r="C330" t="s">
        <v>11</v>
      </c>
      <c r="D330" t="s">
        <v>34</v>
      </c>
      <c r="E330" t="s">
        <v>13</v>
      </c>
      <c r="F330">
        <v>12</v>
      </c>
      <c r="G330">
        <v>13775</v>
      </c>
      <c r="H330">
        <v>8</v>
      </c>
      <c r="I330">
        <v>53</v>
      </c>
    </row>
    <row r="331" spans="1:9" x14ac:dyDescent="0.25">
      <c r="A331" t="s">
        <v>362</v>
      </c>
      <c r="B331" t="s">
        <v>44</v>
      </c>
      <c r="C331" t="s">
        <v>23</v>
      </c>
      <c r="D331" t="s">
        <v>16</v>
      </c>
      <c r="E331" t="s">
        <v>13</v>
      </c>
      <c r="F331">
        <v>10</v>
      </c>
      <c r="G331">
        <v>585</v>
      </c>
      <c r="H331">
        <v>3</v>
      </c>
      <c r="I331">
        <v>96</v>
      </c>
    </row>
    <row r="332" spans="1:9" x14ac:dyDescent="0.25">
      <c r="A332" t="s">
        <v>363</v>
      </c>
      <c r="B332" t="s">
        <v>10</v>
      </c>
      <c r="C332" t="s">
        <v>40</v>
      </c>
      <c r="D332" t="s">
        <v>34</v>
      </c>
      <c r="E332" t="s">
        <v>17</v>
      </c>
      <c r="F332">
        <v>43</v>
      </c>
      <c r="G332">
        <v>2983</v>
      </c>
      <c r="H332">
        <v>1</v>
      </c>
      <c r="I332">
        <v>63</v>
      </c>
    </row>
    <row r="333" spans="1:9" x14ac:dyDescent="0.25">
      <c r="A333" t="s">
        <v>364</v>
      </c>
      <c r="B333" t="s">
        <v>22</v>
      </c>
      <c r="C333" t="s">
        <v>11</v>
      </c>
      <c r="D333" t="s">
        <v>34</v>
      </c>
      <c r="E333" t="s">
        <v>13</v>
      </c>
      <c r="F333">
        <v>90</v>
      </c>
      <c r="G333">
        <v>14902</v>
      </c>
      <c r="H333">
        <v>8</v>
      </c>
      <c r="I333">
        <v>75</v>
      </c>
    </row>
    <row r="334" spans="1:9" x14ac:dyDescent="0.25">
      <c r="A334" t="s">
        <v>365</v>
      </c>
      <c r="B334" t="s">
        <v>22</v>
      </c>
      <c r="C334" t="s">
        <v>26</v>
      </c>
      <c r="D334" t="s">
        <v>27</v>
      </c>
      <c r="E334" t="s">
        <v>17</v>
      </c>
      <c r="F334">
        <v>69</v>
      </c>
      <c r="G334">
        <v>6314</v>
      </c>
      <c r="H334">
        <v>7</v>
      </c>
      <c r="I334">
        <v>69</v>
      </c>
    </row>
    <row r="335" spans="1:9" x14ac:dyDescent="0.25">
      <c r="A335" t="s">
        <v>366</v>
      </c>
      <c r="B335" t="s">
        <v>44</v>
      </c>
      <c r="C335" t="s">
        <v>26</v>
      </c>
      <c r="D335" t="s">
        <v>20</v>
      </c>
      <c r="E335" t="s">
        <v>13</v>
      </c>
      <c r="F335">
        <v>60</v>
      </c>
      <c r="G335">
        <v>1807</v>
      </c>
      <c r="H335">
        <v>9</v>
      </c>
      <c r="I335">
        <v>98</v>
      </c>
    </row>
    <row r="336" spans="1:9" x14ac:dyDescent="0.25">
      <c r="A336" t="s">
        <v>367</v>
      </c>
      <c r="B336" t="s">
        <v>49</v>
      </c>
      <c r="C336" t="s">
        <v>26</v>
      </c>
      <c r="D336" t="s">
        <v>60</v>
      </c>
      <c r="E336" t="s">
        <v>17</v>
      </c>
      <c r="F336">
        <v>53</v>
      </c>
      <c r="G336">
        <v>1374</v>
      </c>
      <c r="H336">
        <v>5</v>
      </c>
      <c r="I336">
        <v>97</v>
      </c>
    </row>
    <row r="337" spans="1:9" x14ac:dyDescent="0.25">
      <c r="A337" t="s">
        <v>368</v>
      </c>
      <c r="B337" t="s">
        <v>22</v>
      </c>
      <c r="C337" t="s">
        <v>11</v>
      </c>
      <c r="D337" t="s">
        <v>27</v>
      </c>
      <c r="E337" t="s">
        <v>13</v>
      </c>
      <c r="F337">
        <v>75</v>
      </c>
      <c r="G337">
        <v>14488</v>
      </c>
      <c r="H337">
        <v>11</v>
      </c>
      <c r="I337">
        <v>68</v>
      </c>
    </row>
    <row r="338" spans="1:9" x14ac:dyDescent="0.25">
      <c r="A338" t="s">
        <v>369</v>
      </c>
      <c r="B338" t="s">
        <v>22</v>
      </c>
      <c r="C338" t="s">
        <v>40</v>
      </c>
      <c r="D338" t="s">
        <v>29</v>
      </c>
      <c r="E338" t="s">
        <v>17</v>
      </c>
      <c r="F338">
        <v>73</v>
      </c>
      <c r="G338">
        <v>2513</v>
      </c>
      <c r="H338">
        <v>4</v>
      </c>
      <c r="I338">
        <v>85</v>
      </c>
    </row>
    <row r="339" spans="1:9" x14ac:dyDescent="0.25">
      <c r="A339" t="s">
        <v>370</v>
      </c>
      <c r="B339" t="s">
        <v>10</v>
      </c>
      <c r="C339" t="s">
        <v>26</v>
      </c>
      <c r="D339" t="s">
        <v>27</v>
      </c>
      <c r="E339" t="s">
        <v>13</v>
      </c>
      <c r="F339">
        <v>63</v>
      </c>
      <c r="G339">
        <v>6927</v>
      </c>
      <c r="H339">
        <v>9</v>
      </c>
      <c r="I339">
        <v>79</v>
      </c>
    </row>
    <row r="340" spans="1:9" x14ac:dyDescent="0.25">
      <c r="A340" t="s">
        <v>371</v>
      </c>
      <c r="B340" t="s">
        <v>22</v>
      </c>
      <c r="C340" t="s">
        <v>26</v>
      </c>
      <c r="D340" t="s">
        <v>42</v>
      </c>
      <c r="E340" t="s">
        <v>17</v>
      </c>
      <c r="F340">
        <v>70</v>
      </c>
      <c r="G340">
        <v>5000</v>
      </c>
      <c r="H340">
        <v>4</v>
      </c>
      <c r="I340">
        <v>84</v>
      </c>
    </row>
    <row r="341" spans="1:9" x14ac:dyDescent="0.25">
      <c r="A341" t="s">
        <v>372</v>
      </c>
      <c r="B341" t="s">
        <v>10</v>
      </c>
      <c r="C341" t="s">
        <v>11</v>
      </c>
      <c r="D341" t="s">
        <v>20</v>
      </c>
      <c r="E341" t="s">
        <v>17</v>
      </c>
      <c r="F341">
        <v>10</v>
      </c>
      <c r="G341">
        <v>18402</v>
      </c>
      <c r="H341">
        <v>15</v>
      </c>
      <c r="I341">
        <v>53</v>
      </c>
    </row>
    <row r="342" spans="1:9" x14ac:dyDescent="0.25">
      <c r="A342" t="s">
        <v>373</v>
      </c>
      <c r="B342" t="s">
        <v>49</v>
      </c>
      <c r="C342" t="s">
        <v>11</v>
      </c>
      <c r="D342" t="s">
        <v>47</v>
      </c>
      <c r="E342" t="s">
        <v>17</v>
      </c>
      <c r="F342">
        <v>81</v>
      </c>
      <c r="G342">
        <v>8791</v>
      </c>
      <c r="H342">
        <v>6</v>
      </c>
      <c r="I342">
        <v>95</v>
      </c>
    </row>
    <row r="343" spans="1:9" x14ac:dyDescent="0.25">
      <c r="A343" t="s">
        <v>374</v>
      </c>
      <c r="B343" t="s">
        <v>22</v>
      </c>
      <c r="C343" t="s">
        <v>11</v>
      </c>
      <c r="D343" t="s">
        <v>60</v>
      </c>
      <c r="E343" t="s">
        <v>13</v>
      </c>
      <c r="F343">
        <v>48</v>
      </c>
      <c r="G343">
        <v>5990</v>
      </c>
      <c r="H343">
        <v>14</v>
      </c>
      <c r="I343">
        <v>90</v>
      </c>
    </row>
    <row r="344" spans="1:9" x14ac:dyDescent="0.25">
      <c r="A344" t="s">
        <v>375</v>
      </c>
      <c r="B344" t="s">
        <v>10</v>
      </c>
      <c r="C344" t="s">
        <v>23</v>
      </c>
      <c r="D344" t="s">
        <v>34</v>
      </c>
      <c r="E344" t="s">
        <v>17</v>
      </c>
      <c r="F344">
        <v>69</v>
      </c>
      <c r="G344">
        <v>1329</v>
      </c>
      <c r="H344">
        <v>2</v>
      </c>
      <c r="I344">
        <v>50</v>
      </c>
    </row>
    <row r="345" spans="1:9" x14ac:dyDescent="0.25">
      <c r="A345" t="s">
        <v>376</v>
      </c>
      <c r="B345" t="s">
        <v>15</v>
      </c>
      <c r="C345" t="s">
        <v>26</v>
      </c>
      <c r="D345" t="s">
        <v>20</v>
      </c>
      <c r="E345" t="s">
        <v>13</v>
      </c>
      <c r="F345">
        <v>3</v>
      </c>
      <c r="G345">
        <v>5114</v>
      </c>
      <c r="H345">
        <v>8</v>
      </c>
      <c r="I345">
        <v>61</v>
      </c>
    </row>
    <row r="346" spans="1:9" x14ac:dyDescent="0.25">
      <c r="A346" t="s">
        <v>377</v>
      </c>
      <c r="B346" t="s">
        <v>15</v>
      </c>
      <c r="C346" t="s">
        <v>11</v>
      </c>
      <c r="D346" t="s">
        <v>20</v>
      </c>
      <c r="E346" t="s">
        <v>17</v>
      </c>
      <c r="F346">
        <v>25</v>
      </c>
      <c r="G346">
        <v>15154</v>
      </c>
      <c r="H346">
        <v>13</v>
      </c>
      <c r="I346">
        <v>66</v>
      </c>
    </row>
    <row r="347" spans="1:9" x14ac:dyDescent="0.25">
      <c r="A347" t="s">
        <v>378</v>
      </c>
      <c r="B347" t="s">
        <v>49</v>
      </c>
      <c r="C347" t="s">
        <v>26</v>
      </c>
      <c r="D347" t="s">
        <v>27</v>
      </c>
      <c r="E347" t="s">
        <v>13</v>
      </c>
      <c r="F347">
        <v>11</v>
      </c>
      <c r="G347">
        <v>4056</v>
      </c>
      <c r="H347">
        <v>8</v>
      </c>
      <c r="I347">
        <v>79</v>
      </c>
    </row>
    <row r="348" spans="1:9" x14ac:dyDescent="0.25">
      <c r="A348" t="s">
        <v>379</v>
      </c>
      <c r="B348" t="s">
        <v>19</v>
      </c>
      <c r="C348" t="s">
        <v>40</v>
      </c>
      <c r="D348" t="s">
        <v>60</v>
      </c>
      <c r="E348" t="s">
        <v>17</v>
      </c>
      <c r="F348">
        <v>11</v>
      </c>
      <c r="G348">
        <v>759</v>
      </c>
      <c r="H348">
        <v>1</v>
      </c>
      <c r="I348">
        <v>75</v>
      </c>
    </row>
    <row r="349" spans="1:9" x14ac:dyDescent="0.25">
      <c r="A349" t="s">
        <v>380</v>
      </c>
      <c r="B349" t="s">
        <v>25</v>
      </c>
      <c r="C349" t="s">
        <v>23</v>
      </c>
      <c r="D349" t="s">
        <v>20</v>
      </c>
      <c r="E349" t="s">
        <v>17</v>
      </c>
      <c r="F349">
        <v>82</v>
      </c>
      <c r="G349">
        <v>219</v>
      </c>
      <c r="H349">
        <v>3</v>
      </c>
      <c r="I349">
        <v>60</v>
      </c>
    </row>
    <row r="350" spans="1:9" x14ac:dyDescent="0.25">
      <c r="A350" t="s">
        <v>381</v>
      </c>
      <c r="B350" t="s">
        <v>15</v>
      </c>
      <c r="C350" t="s">
        <v>23</v>
      </c>
      <c r="D350" t="s">
        <v>47</v>
      </c>
      <c r="E350" t="s">
        <v>13</v>
      </c>
      <c r="F350">
        <v>43</v>
      </c>
      <c r="G350">
        <v>1358</v>
      </c>
      <c r="H350">
        <v>1</v>
      </c>
      <c r="I350">
        <v>83</v>
      </c>
    </row>
    <row r="351" spans="1:9" x14ac:dyDescent="0.25">
      <c r="A351" t="s">
        <v>382</v>
      </c>
      <c r="B351" t="s">
        <v>15</v>
      </c>
      <c r="C351" t="s">
        <v>40</v>
      </c>
      <c r="D351" t="s">
        <v>60</v>
      </c>
      <c r="E351" t="s">
        <v>13</v>
      </c>
      <c r="F351">
        <v>89</v>
      </c>
      <c r="G351">
        <v>4395</v>
      </c>
      <c r="H351">
        <v>3</v>
      </c>
      <c r="I351">
        <v>52</v>
      </c>
    </row>
    <row r="352" spans="1:9" x14ac:dyDescent="0.25">
      <c r="A352" t="s">
        <v>383</v>
      </c>
      <c r="B352" t="s">
        <v>15</v>
      </c>
      <c r="C352" t="s">
        <v>26</v>
      </c>
      <c r="D352" t="s">
        <v>20</v>
      </c>
      <c r="E352" t="s">
        <v>13</v>
      </c>
      <c r="F352">
        <v>5</v>
      </c>
      <c r="G352">
        <v>2469</v>
      </c>
      <c r="H352">
        <v>7</v>
      </c>
      <c r="I352">
        <v>51</v>
      </c>
    </row>
    <row r="353" spans="1:9" x14ac:dyDescent="0.25">
      <c r="A353" t="s">
        <v>384</v>
      </c>
      <c r="B353" t="s">
        <v>22</v>
      </c>
      <c r="C353" t="s">
        <v>40</v>
      </c>
      <c r="D353" t="s">
        <v>47</v>
      </c>
      <c r="E353" t="s">
        <v>13</v>
      </c>
      <c r="F353">
        <v>39</v>
      </c>
      <c r="G353">
        <v>1830</v>
      </c>
      <c r="H353">
        <v>5</v>
      </c>
      <c r="I353">
        <v>65</v>
      </c>
    </row>
    <row r="354" spans="1:9" x14ac:dyDescent="0.25">
      <c r="A354" t="s">
        <v>385</v>
      </c>
      <c r="B354" t="s">
        <v>19</v>
      </c>
      <c r="C354" t="s">
        <v>23</v>
      </c>
      <c r="D354" t="s">
        <v>20</v>
      </c>
      <c r="E354" t="s">
        <v>17</v>
      </c>
      <c r="F354">
        <v>18</v>
      </c>
      <c r="G354">
        <v>1818</v>
      </c>
      <c r="H354">
        <v>3</v>
      </c>
      <c r="I354">
        <v>96</v>
      </c>
    </row>
    <row r="355" spans="1:9" x14ac:dyDescent="0.25">
      <c r="A355" t="s">
        <v>386</v>
      </c>
      <c r="B355" t="s">
        <v>15</v>
      </c>
      <c r="C355" t="s">
        <v>26</v>
      </c>
      <c r="D355" t="s">
        <v>12</v>
      </c>
      <c r="E355" t="s">
        <v>17</v>
      </c>
      <c r="F355">
        <v>30</v>
      </c>
      <c r="G355">
        <v>1622</v>
      </c>
      <c r="H355">
        <v>7</v>
      </c>
      <c r="I355">
        <v>88</v>
      </c>
    </row>
    <row r="356" spans="1:9" x14ac:dyDescent="0.25">
      <c r="A356" t="s">
        <v>387</v>
      </c>
      <c r="B356" t="s">
        <v>49</v>
      </c>
      <c r="C356" t="s">
        <v>23</v>
      </c>
      <c r="D356" t="s">
        <v>29</v>
      </c>
      <c r="E356" t="s">
        <v>17</v>
      </c>
      <c r="F356">
        <v>35</v>
      </c>
      <c r="G356">
        <v>1804</v>
      </c>
      <c r="H356">
        <v>2</v>
      </c>
      <c r="I356">
        <v>81</v>
      </c>
    </row>
    <row r="357" spans="1:9" x14ac:dyDescent="0.25">
      <c r="A357" t="s">
        <v>388</v>
      </c>
      <c r="B357" t="s">
        <v>22</v>
      </c>
      <c r="C357" t="s">
        <v>26</v>
      </c>
      <c r="D357" t="s">
        <v>20</v>
      </c>
      <c r="E357" t="s">
        <v>13</v>
      </c>
      <c r="F357">
        <v>56</v>
      </c>
      <c r="G357">
        <v>2521</v>
      </c>
      <c r="H357">
        <v>8</v>
      </c>
      <c r="I357">
        <v>55</v>
      </c>
    </row>
    <row r="358" spans="1:9" x14ac:dyDescent="0.25">
      <c r="A358" t="s">
        <v>389</v>
      </c>
      <c r="B358" t="s">
        <v>49</v>
      </c>
      <c r="C358" t="s">
        <v>26</v>
      </c>
      <c r="D358" t="s">
        <v>60</v>
      </c>
      <c r="E358" t="s">
        <v>13</v>
      </c>
      <c r="F358">
        <v>11</v>
      </c>
      <c r="G358">
        <v>3195</v>
      </c>
      <c r="H358">
        <v>4</v>
      </c>
      <c r="I358">
        <v>74</v>
      </c>
    </row>
    <row r="359" spans="1:9" x14ac:dyDescent="0.25">
      <c r="A359" t="s">
        <v>390</v>
      </c>
      <c r="B359" t="s">
        <v>10</v>
      </c>
      <c r="C359" t="s">
        <v>40</v>
      </c>
      <c r="D359" t="s">
        <v>47</v>
      </c>
      <c r="E359" t="s">
        <v>17</v>
      </c>
      <c r="F359">
        <v>14</v>
      </c>
      <c r="G359">
        <v>1249</v>
      </c>
      <c r="H359">
        <v>1</v>
      </c>
      <c r="I359">
        <v>69</v>
      </c>
    </row>
    <row r="360" spans="1:9" x14ac:dyDescent="0.25">
      <c r="A360" t="s">
        <v>391</v>
      </c>
      <c r="B360" t="s">
        <v>25</v>
      </c>
      <c r="C360" t="s">
        <v>26</v>
      </c>
      <c r="D360" t="s">
        <v>27</v>
      </c>
      <c r="E360" t="s">
        <v>17</v>
      </c>
      <c r="F360">
        <v>12</v>
      </c>
      <c r="G360">
        <v>2535</v>
      </c>
      <c r="H360">
        <v>8</v>
      </c>
      <c r="I360">
        <v>78</v>
      </c>
    </row>
    <row r="361" spans="1:9" x14ac:dyDescent="0.25">
      <c r="A361" t="s">
        <v>392</v>
      </c>
      <c r="B361" t="s">
        <v>19</v>
      </c>
      <c r="C361" t="s">
        <v>23</v>
      </c>
      <c r="D361" t="s">
        <v>31</v>
      </c>
      <c r="E361" t="s">
        <v>17</v>
      </c>
      <c r="F361">
        <v>46</v>
      </c>
      <c r="G361">
        <v>1335</v>
      </c>
      <c r="H361">
        <v>1</v>
      </c>
      <c r="I361">
        <v>88</v>
      </c>
    </row>
    <row r="362" spans="1:9" x14ac:dyDescent="0.25">
      <c r="A362" t="s">
        <v>393</v>
      </c>
      <c r="B362" t="s">
        <v>19</v>
      </c>
      <c r="C362" t="s">
        <v>26</v>
      </c>
      <c r="D362" t="s">
        <v>47</v>
      </c>
      <c r="E362" t="s">
        <v>17</v>
      </c>
      <c r="F362">
        <v>53</v>
      </c>
      <c r="G362">
        <v>4176</v>
      </c>
      <c r="H362">
        <v>3</v>
      </c>
      <c r="I362">
        <v>96</v>
      </c>
    </row>
    <row r="363" spans="1:9" x14ac:dyDescent="0.25">
      <c r="A363" t="s">
        <v>394</v>
      </c>
      <c r="B363" t="s">
        <v>19</v>
      </c>
      <c r="C363" t="s">
        <v>40</v>
      </c>
      <c r="D363" t="s">
        <v>16</v>
      </c>
      <c r="E363" t="s">
        <v>13</v>
      </c>
      <c r="F363">
        <v>88</v>
      </c>
      <c r="G363">
        <v>3618</v>
      </c>
      <c r="H363">
        <v>2</v>
      </c>
      <c r="I363">
        <v>58</v>
      </c>
    </row>
    <row r="364" spans="1:9" x14ac:dyDescent="0.25">
      <c r="A364" t="s">
        <v>395</v>
      </c>
      <c r="B364" t="s">
        <v>44</v>
      </c>
      <c r="C364" t="s">
        <v>26</v>
      </c>
      <c r="D364" t="s">
        <v>27</v>
      </c>
      <c r="E364" t="s">
        <v>13</v>
      </c>
      <c r="F364">
        <v>9</v>
      </c>
      <c r="G364">
        <v>2369</v>
      </c>
      <c r="H364">
        <v>8</v>
      </c>
      <c r="I364">
        <v>67</v>
      </c>
    </row>
    <row r="365" spans="1:9" x14ac:dyDescent="0.25">
      <c r="A365" t="s">
        <v>396</v>
      </c>
      <c r="B365" t="s">
        <v>25</v>
      </c>
      <c r="C365" t="s">
        <v>26</v>
      </c>
      <c r="D365" t="s">
        <v>34</v>
      </c>
      <c r="E365" t="s">
        <v>13</v>
      </c>
      <c r="F365">
        <v>47</v>
      </c>
      <c r="G365">
        <v>3061</v>
      </c>
      <c r="H365">
        <v>5</v>
      </c>
      <c r="I365">
        <v>96</v>
      </c>
    </row>
    <row r="366" spans="1:9" x14ac:dyDescent="0.25">
      <c r="A366" t="s">
        <v>397</v>
      </c>
      <c r="B366" t="s">
        <v>10</v>
      </c>
      <c r="C366" t="s">
        <v>23</v>
      </c>
      <c r="D366" t="s">
        <v>16</v>
      </c>
      <c r="E366" t="s">
        <v>13</v>
      </c>
      <c r="F366">
        <v>59</v>
      </c>
      <c r="G366">
        <v>419</v>
      </c>
      <c r="H366">
        <v>1</v>
      </c>
      <c r="I366">
        <v>69</v>
      </c>
    </row>
    <row r="367" spans="1:9" x14ac:dyDescent="0.25">
      <c r="A367" t="s">
        <v>398</v>
      </c>
      <c r="B367" t="s">
        <v>15</v>
      </c>
      <c r="C367" t="s">
        <v>23</v>
      </c>
      <c r="D367" t="s">
        <v>29</v>
      </c>
      <c r="E367" t="s">
        <v>13</v>
      </c>
      <c r="F367">
        <v>49</v>
      </c>
      <c r="G367">
        <v>1846</v>
      </c>
      <c r="H367">
        <v>2</v>
      </c>
      <c r="I367">
        <v>78</v>
      </c>
    </row>
    <row r="368" spans="1:9" x14ac:dyDescent="0.25">
      <c r="A368" t="s">
        <v>399</v>
      </c>
      <c r="B368" t="s">
        <v>44</v>
      </c>
      <c r="C368" t="s">
        <v>23</v>
      </c>
      <c r="D368" t="s">
        <v>16</v>
      </c>
      <c r="E368" t="s">
        <v>17</v>
      </c>
      <c r="F368">
        <v>42</v>
      </c>
      <c r="G368">
        <v>1435</v>
      </c>
      <c r="H368">
        <v>3</v>
      </c>
      <c r="I368">
        <v>62</v>
      </c>
    </row>
    <row r="369" spans="1:9" x14ac:dyDescent="0.25">
      <c r="A369" t="s">
        <v>400</v>
      </c>
      <c r="B369" t="s">
        <v>25</v>
      </c>
      <c r="C369" t="s">
        <v>26</v>
      </c>
      <c r="D369" t="s">
        <v>42</v>
      </c>
      <c r="E369" t="s">
        <v>13</v>
      </c>
      <c r="F369">
        <v>41</v>
      </c>
      <c r="G369">
        <v>3387</v>
      </c>
      <c r="H369">
        <v>9</v>
      </c>
      <c r="I369">
        <v>86</v>
      </c>
    </row>
    <row r="370" spans="1:9" x14ac:dyDescent="0.25">
      <c r="A370" t="s">
        <v>401</v>
      </c>
      <c r="B370" t="s">
        <v>49</v>
      </c>
      <c r="C370" t="s">
        <v>40</v>
      </c>
      <c r="D370" t="s">
        <v>29</v>
      </c>
      <c r="E370" t="s">
        <v>17</v>
      </c>
      <c r="F370">
        <v>51</v>
      </c>
      <c r="G370">
        <v>3490</v>
      </c>
      <c r="H370">
        <v>1</v>
      </c>
      <c r="I370">
        <v>86</v>
      </c>
    </row>
    <row r="371" spans="1:9" x14ac:dyDescent="0.25">
      <c r="A371" t="s">
        <v>402</v>
      </c>
      <c r="B371" t="s">
        <v>22</v>
      </c>
      <c r="C371" t="s">
        <v>40</v>
      </c>
      <c r="D371" t="s">
        <v>20</v>
      </c>
      <c r="E371" t="s">
        <v>17</v>
      </c>
      <c r="F371">
        <v>60</v>
      </c>
      <c r="G371">
        <v>2217</v>
      </c>
      <c r="H371">
        <v>4</v>
      </c>
      <c r="I371">
        <v>68</v>
      </c>
    </row>
    <row r="372" spans="1:9" x14ac:dyDescent="0.25">
      <c r="A372" t="s">
        <v>403</v>
      </c>
      <c r="B372" t="s">
        <v>49</v>
      </c>
      <c r="C372" t="s">
        <v>11</v>
      </c>
      <c r="D372" t="s">
        <v>47</v>
      </c>
      <c r="E372" t="s">
        <v>13</v>
      </c>
      <c r="F372">
        <v>18</v>
      </c>
      <c r="G372">
        <v>15376</v>
      </c>
      <c r="H372">
        <v>9</v>
      </c>
      <c r="I372">
        <v>65</v>
      </c>
    </row>
    <row r="373" spans="1:9" x14ac:dyDescent="0.25">
      <c r="A373" t="s">
        <v>404</v>
      </c>
      <c r="B373" t="s">
        <v>44</v>
      </c>
      <c r="C373" t="s">
        <v>40</v>
      </c>
      <c r="D373" t="s">
        <v>47</v>
      </c>
      <c r="E373" t="s">
        <v>13</v>
      </c>
      <c r="F373">
        <v>10</v>
      </c>
      <c r="G373">
        <v>4178</v>
      </c>
      <c r="H373">
        <v>5</v>
      </c>
      <c r="I373">
        <v>80</v>
      </c>
    </row>
    <row r="374" spans="1:9" x14ac:dyDescent="0.25">
      <c r="A374" t="s">
        <v>405</v>
      </c>
      <c r="B374" t="s">
        <v>19</v>
      </c>
      <c r="C374" t="s">
        <v>23</v>
      </c>
      <c r="D374" t="s">
        <v>20</v>
      </c>
      <c r="E374" t="s">
        <v>13</v>
      </c>
      <c r="F374">
        <v>89</v>
      </c>
      <c r="G374">
        <v>1056</v>
      </c>
      <c r="H374">
        <v>3</v>
      </c>
      <c r="I374">
        <v>52</v>
      </c>
    </row>
    <row r="375" spans="1:9" x14ac:dyDescent="0.25">
      <c r="A375" t="s">
        <v>406</v>
      </c>
      <c r="B375" t="s">
        <v>49</v>
      </c>
      <c r="C375" t="s">
        <v>26</v>
      </c>
      <c r="D375" t="s">
        <v>20</v>
      </c>
      <c r="E375" t="s">
        <v>13</v>
      </c>
      <c r="F375">
        <v>11</v>
      </c>
      <c r="G375">
        <v>1895</v>
      </c>
      <c r="H375">
        <v>5</v>
      </c>
      <c r="I375">
        <v>92</v>
      </c>
    </row>
    <row r="376" spans="1:9" x14ac:dyDescent="0.25">
      <c r="A376" t="s">
        <v>407</v>
      </c>
      <c r="B376" t="s">
        <v>10</v>
      </c>
      <c r="C376" t="s">
        <v>26</v>
      </c>
      <c r="D376" t="s">
        <v>42</v>
      </c>
      <c r="E376" t="s">
        <v>13</v>
      </c>
      <c r="F376">
        <v>6</v>
      </c>
      <c r="G376">
        <v>5613</v>
      </c>
      <c r="H376">
        <v>8</v>
      </c>
      <c r="I376">
        <v>98</v>
      </c>
    </row>
    <row r="377" spans="1:9" x14ac:dyDescent="0.25">
      <c r="A377" t="s">
        <v>408</v>
      </c>
      <c r="B377" t="s">
        <v>44</v>
      </c>
      <c r="C377" t="s">
        <v>23</v>
      </c>
      <c r="D377" t="s">
        <v>31</v>
      </c>
      <c r="E377" t="s">
        <v>17</v>
      </c>
      <c r="F377">
        <v>34</v>
      </c>
      <c r="G377">
        <v>654</v>
      </c>
      <c r="H377">
        <v>3</v>
      </c>
      <c r="I377">
        <v>97</v>
      </c>
    </row>
    <row r="378" spans="1:9" x14ac:dyDescent="0.25">
      <c r="A378" t="s">
        <v>409</v>
      </c>
      <c r="B378" t="s">
        <v>19</v>
      </c>
      <c r="C378" t="s">
        <v>40</v>
      </c>
      <c r="D378" t="s">
        <v>34</v>
      </c>
      <c r="E378" t="s">
        <v>17</v>
      </c>
      <c r="F378">
        <v>60</v>
      </c>
      <c r="G378">
        <v>4599</v>
      </c>
      <c r="H378">
        <v>2</v>
      </c>
      <c r="I378">
        <v>72</v>
      </c>
    </row>
    <row r="379" spans="1:9" x14ac:dyDescent="0.25">
      <c r="A379" t="s">
        <v>410</v>
      </c>
      <c r="B379" t="s">
        <v>15</v>
      </c>
      <c r="C379" t="s">
        <v>23</v>
      </c>
      <c r="D379" t="s">
        <v>31</v>
      </c>
      <c r="E379" t="s">
        <v>17</v>
      </c>
      <c r="F379">
        <v>11</v>
      </c>
      <c r="G379">
        <v>437</v>
      </c>
      <c r="H379">
        <v>3</v>
      </c>
      <c r="I379">
        <v>59</v>
      </c>
    </row>
    <row r="380" spans="1:9" x14ac:dyDescent="0.25">
      <c r="A380" t="s">
        <v>411</v>
      </c>
      <c r="B380" t="s">
        <v>44</v>
      </c>
      <c r="C380" t="s">
        <v>26</v>
      </c>
      <c r="D380" t="s">
        <v>29</v>
      </c>
      <c r="E380" t="s">
        <v>17</v>
      </c>
      <c r="F380">
        <v>27</v>
      </c>
      <c r="G380">
        <v>5268</v>
      </c>
      <c r="H380">
        <v>9</v>
      </c>
      <c r="I380">
        <v>72</v>
      </c>
    </row>
    <row r="381" spans="1:9" x14ac:dyDescent="0.25">
      <c r="A381" t="s">
        <v>412</v>
      </c>
      <c r="B381" t="s">
        <v>25</v>
      </c>
      <c r="C381" t="s">
        <v>11</v>
      </c>
      <c r="D381" t="s">
        <v>34</v>
      </c>
      <c r="E381" t="s">
        <v>13</v>
      </c>
      <c r="F381">
        <v>58</v>
      </c>
      <c r="G381">
        <v>10225</v>
      </c>
      <c r="H381">
        <v>6</v>
      </c>
      <c r="I381">
        <v>69</v>
      </c>
    </row>
    <row r="382" spans="1:9" x14ac:dyDescent="0.25">
      <c r="A382" t="s">
        <v>413</v>
      </c>
      <c r="B382" t="s">
        <v>15</v>
      </c>
      <c r="C382" t="s">
        <v>11</v>
      </c>
      <c r="D382" t="s">
        <v>12</v>
      </c>
      <c r="E382" t="s">
        <v>13</v>
      </c>
      <c r="F382">
        <v>83</v>
      </c>
      <c r="G382">
        <v>6791</v>
      </c>
      <c r="H382">
        <v>15</v>
      </c>
      <c r="I382">
        <v>60</v>
      </c>
    </row>
    <row r="383" spans="1:9" x14ac:dyDescent="0.25">
      <c r="A383" t="s">
        <v>414</v>
      </c>
      <c r="B383" t="s">
        <v>10</v>
      </c>
      <c r="C383" t="s">
        <v>40</v>
      </c>
      <c r="D383" t="s">
        <v>20</v>
      </c>
      <c r="E383" t="s">
        <v>17</v>
      </c>
      <c r="F383">
        <v>21</v>
      </c>
      <c r="G383">
        <v>3211</v>
      </c>
      <c r="H383">
        <v>5</v>
      </c>
      <c r="I383">
        <v>77</v>
      </c>
    </row>
    <row r="384" spans="1:9" x14ac:dyDescent="0.25">
      <c r="A384" t="s">
        <v>415</v>
      </c>
      <c r="B384" t="s">
        <v>25</v>
      </c>
      <c r="C384" t="s">
        <v>40</v>
      </c>
      <c r="D384" t="s">
        <v>47</v>
      </c>
      <c r="E384" t="s">
        <v>13</v>
      </c>
      <c r="F384">
        <v>24</v>
      </c>
      <c r="G384">
        <v>4040</v>
      </c>
      <c r="H384">
        <v>4</v>
      </c>
      <c r="I384">
        <v>51</v>
      </c>
    </row>
    <row r="385" spans="1:9" x14ac:dyDescent="0.25">
      <c r="A385" t="s">
        <v>416</v>
      </c>
      <c r="B385" t="s">
        <v>10</v>
      </c>
      <c r="C385" t="s">
        <v>40</v>
      </c>
      <c r="D385" t="s">
        <v>34</v>
      </c>
      <c r="E385" t="s">
        <v>13</v>
      </c>
      <c r="F385">
        <v>50</v>
      </c>
      <c r="G385">
        <v>536</v>
      </c>
      <c r="H385">
        <v>2</v>
      </c>
      <c r="I385">
        <v>63</v>
      </c>
    </row>
    <row r="386" spans="1:9" x14ac:dyDescent="0.25">
      <c r="A386" t="s">
        <v>417</v>
      </c>
      <c r="B386" t="s">
        <v>44</v>
      </c>
      <c r="C386" t="s">
        <v>11</v>
      </c>
      <c r="D386" t="s">
        <v>16</v>
      </c>
      <c r="E386" t="s">
        <v>17</v>
      </c>
      <c r="F386">
        <v>69</v>
      </c>
      <c r="G386">
        <v>8063</v>
      </c>
      <c r="H386">
        <v>10</v>
      </c>
      <c r="I386">
        <v>70</v>
      </c>
    </row>
    <row r="387" spans="1:9" x14ac:dyDescent="0.25">
      <c r="A387" t="s">
        <v>418</v>
      </c>
      <c r="B387" t="s">
        <v>22</v>
      </c>
      <c r="C387" t="s">
        <v>23</v>
      </c>
      <c r="D387" t="s">
        <v>31</v>
      </c>
      <c r="E387" t="s">
        <v>17</v>
      </c>
      <c r="F387">
        <v>63</v>
      </c>
      <c r="G387">
        <v>1280</v>
      </c>
      <c r="H387">
        <v>3</v>
      </c>
      <c r="I387">
        <v>70</v>
      </c>
    </row>
    <row r="388" spans="1:9" x14ac:dyDescent="0.25">
      <c r="A388" t="s">
        <v>419</v>
      </c>
      <c r="B388" t="s">
        <v>19</v>
      </c>
      <c r="C388" t="s">
        <v>23</v>
      </c>
      <c r="D388" t="s">
        <v>16</v>
      </c>
      <c r="E388" t="s">
        <v>17</v>
      </c>
      <c r="F388">
        <v>15</v>
      </c>
      <c r="G388">
        <v>912</v>
      </c>
      <c r="H388">
        <v>2</v>
      </c>
      <c r="I388">
        <v>79</v>
      </c>
    </row>
    <row r="389" spans="1:9" x14ac:dyDescent="0.25">
      <c r="A389" t="s">
        <v>420</v>
      </c>
      <c r="B389" t="s">
        <v>19</v>
      </c>
      <c r="C389" t="s">
        <v>40</v>
      </c>
      <c r="D389" t="s">
        <v>27</v>
      </c>
      <c r="E389" t="s">
        <v>13</v>
      </c>
      <c r="F389">
        <v>76</v>
      </c>
      <c r="G389">
        <v>1194</v>
      </c>
      <c r="H389">
        <v>2</v>
      </c>
      <c r="I389">
        <v>70</v>
      </c>
    </row>
    <row r="390" spans="1:9" x14ac:dyDescent="0.25">
      <c r="A390" t="s">
        <v>421</v>
      </c>
      <c r="B390" t="s">
        <v>15</v>
      </c>
      <c r="C390" t="s">
        <v>40</v>
      </c>
      <c r="D390" t="s">
        <v>27</v>
      </c>
      <c r="E390" t="s">
        <v>17</v>
      </c>
      <c r="F390">
        <v>48</v>
      </c>
      <c r="G390">
        <v>1658</v>
      </c>
      <c r="H390">
        <v>5</v>
      </c>
      <c r="I390">
        <v>74</v>
      </c>
    </row>
    <row r="391" spans="1:9" x14ac:dyDescent="0.25">
      <c r="A391" t="s">
        <v>422</v>
      </c>
      <c r="B391" t="s">
        <v>25</v>
      </c>
      <c r="C391" t="s">
        <v>40</v>
      </c>
      <c r="D391" t="s">
        <v>16</v>
      </c>
      <c r="E391" t="s">
        <v>17</v>
      </c>
      <c r="F391">
        <v>24</v>
      </c>
      <c r="G391">
        <v>4486</v>
      </c>
      <c r="H391">
        <v>5</v>
      </c>
      <c r="I391">
        <v>94</v>
      </c>
    </row>
    <row r="392" spans="1:9" x14ac:dyDescent="0.25">
      <c r="A392" t="s">
        <v>423</v>
      </c>
      <c r="B392" t="s">
        <v>10</v>
      </c>
      <c r="C392" t="s">
        <v>40</v>
      </c>
      <c r="D392" t="s">
        <v>20</v>
      </c>
      <c r="E392" t="s">
        <v>17</v>
      </c>
      <c r="F392">
        <v>37</v>
      </c>
      <c r="G392">
        <v>1649</v>
      </c>
      <c r="H392">
        <v>2</v>
      </c>
      <c r="I392">
        <v>70</v>
      </c>
    </row>
    <row r="393" spans="1:9" x14ac:dyDescent="0.25">
      <c r="A393" t="s">
        <v>424</v>
      </c>
      <c r="B393" t="s">
        <v>49</v>
      </c>
      <c r="C393" t="s">
        <v>23</v>
      </c>
      <c r="D393" t="s">
        <v>16</v>
      </c>
      <c r="E393" t="s">
        <v>17</v>
      </c>
      <c r="F393">
        <v>46</v>
      </c>
      <c r="G393">
        <v>219</v>
      </c>
      <c r="H393">
        <v>2</v>
      </c>
      <c r="I393">
        <v>58</v>
      </c>
    </row>
    <row r="394" spans="1:9" x14ac:dyDescent="0.25">
      <c r="A394" t="s">
        <v>425</v>
      </c>
      <c r="B394" t="s">
        <v>22</v>
      </c>
      <c r="C394" t="s">
        <v>23</v>
      </c>
      <c r="D394" t="s">
        <v>20</v>
      </c>
      <c r="E394" t="s">
        <v>13</v>
      </c>
      <c r="F394">
        <v>64</v>
      </c>
      <c r="G394">
        <v>1037</v>
      </c>
      <c r="H394">
        <v>3</v>
      </c>
      <c r="I394">
        <v>81</v>
      </c>
    </row>
    <row r="395" spans="1:9" x14ac:dyDescent="0.25">
      <c r="A395" t="s">
        <v>426</v>
      </c>
      <c r="B395" t="s">
        <v>25</v>
      </c>
      <c r="C395" t="s">
        <v>23</v>
      </c>
      <c r="D395" t="s">
        <v>34</v>
      </c>
      <c r="E395" t="s">
        <v>17</v>
      </c>
      <c r="F395">
        <v>73</v>
      </c>
      <c r="G395">
        <v>263</v>
      </c>
      <c r="H395">
        <v>1</v>
      </c>
      <c r="I395">
        <v>68</v>
      </c>
    </row>
    <row r="396" spans="1:9" x14ac:dyDescent="0.25">
      <c r="A396" t="s">
        <v>427</v>
      </c>
      <c r="B396" t="s">
        <v>15</v>
      </c>
      <c r="C396" t="s">
        <v>26</v>
      </c>
      <c r="D396" t="s">
        <v>60</v>
      </c>
      <c r="E396" t="s">
        <v>13</v>
      </c>
      <c r="F396">
        <v>22</v>
      </c>
      <c r="G396">
        <v>4746</v>
      </c>
      <c r="H396">
        <v>9</v>
      </c>
      <c r="I396">
        <v>85</v>
      </c>
    </row>
    <row r="397" spans="1:9" x14ac:dyDescent="0.25">
      <c r="A397" t="s">
        <v>428</v>
      </c>
      <c r="B397" t="s">
        <v>19</v>
      </c>
      <c r="C397" t="s">
        <v>11</v>
      </c>
      <c r="D397" t="s">
        <v>16</v>
      </c>
      <c r="E397" t="s">
        <v>17</v>
      </c>
      <c r="F397">
        <v>70</v>
      </c>
      <c r="G397">
        <v>18488</v>
      </c>
      <c r="H397">
        <v>10</v>
      </c>
      <c r="I397">
        <v>84</v>
      </c>
    </row>
    <row r="398" spans="1:9" x14ac:dyDescent="0.25">
      <c r="A398" t="s">
        <v>429</v>
      </c>
      <c r="B398" t="s">
        <v>49</v>
      </c>
      <c r="C398" t="s">
        <v>11</v>
      </c>
      <c r="D398" t="s">
        <v>34</v>
      </c>
      <c r="E398" t="s">
        <v>13</v>
      </c>
      <c r="F398">
        <v>55</v>
      </c>
      <c r="G398">
        <v>6677</v>
      </c>
      <c r="H398">
        <v>15</v>
      </c>
      <c r="I398">
        <v>98</v>
      </c>
    </row>
    <row r="399" spans="1:9" x14ac:dyDescent="0.25">
      <c r="A399" t="s">
        <v>430</v>
      </c>
      <c r="B399" t="s">
        <v>22</v>
      </c>
      <c r="C399" t="s">
        <v>26</v>
      </c>
      <c r="D399" t="s">
        <v>12</v>
      </c>
      <c r="E399" t="s">
        <v>17</v>
      </c>
      <c r="F399">
        <v>45</v>
      </c>
      <c r="G399">
        <v>1712</v>
      </c>
      <c r="H399">
        <v>9</v>
      </c>
      <c r="I399">
        <v>57</v>
      </c>
    </row>
    <row r="400" spans="1:9" x14ac:dyDescent="0.25">
      <c r="A400" t="s">
        <v>431</v>
      </c>
      <c r="B400" t="s">
        <v>49</v>
      </c>
      <c r="C400" t="s">
        <v>40</v>
      </c>
      <c r="D400" t="s">
        <v>60</v>
      </c>
      <c r="E400" t="s">
        <v>13</v>
      </c>
      <c r="F400">
        <v>76</v>
      </c>
      <c r="G400">
        <v>3372</v>
      </c>
      <c r="H400">
        <v>5</v>
      </c>
      <c r="I400">
        <v>90</v>
      </c>
    </row>
    <row r="401" spans="1:11" x14ac:dyDescent="0.25">
      <c r="A401" t="s">
        <v>432</v>
      </c>
      <c r="B401" t="s">
        <v>25</v>
      </c>
      <c r="C401" t="s">
        <v>40</v>
      </c>
      <c r="D401" t="s">
        <v>16</v>
      </c>
      <c r="E401" t="s">
        <v>17</v>
      </c>
      <c r="F401">
        <v>27</v>
      </c>
      <c r="G401">
        <v>2195</v>
      </c>
      <c r="H401">
        <v>1</v>
      </c>
      <c r="I401">
        <v>86</v>
      </c>
    </row>
    <row r="402" spans="1:11" x14ac:dyDescent="0.25">
      <c r="I402">
        <f>SUM(I2:I401)</f>
        <v>30136</v>
      </c>
      <c r="K402">
        <f>I402/400</f>
        <v>75.34</v>
      </c>
    </row>
  </sheetData>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468"/>
  <sheetViews>
    <sheetView workbookViewId="0">
      <selection activeCell="U9" sqref="U9"/>
    </sheetView>
  </sheetViews>
  <sheetFormatPr defaultRowHeight="15" x14ac:dyDescent="0.25"/>
  <cols>
    <col min="1" max="1" width="10.42578125" customWidth="1"/>
    <col min="2" max="2" width="14.7109375" bestFit="1" customWidth="1"/>
    <col min="3" max="3" width="15" customWidth="1"/>
    <col min="4" max="4" width="13" customWidth="1"/>
    <col min="6" max="6" width="9" style="1"/>
    <col min="7" max="7" width="10.7109375" style="1" bestFit="1" customWidth="1"/>
    <col min="8" max="8" width="14.7109375" customWidth="1"/>
    <col min="9" max="9" width="20.140625" bestFit="1" customWidth="1"/>
    <col min="10" max="11" width="18.28515625" style="1" customWidth="1"/>
    <col min="12" max="13" width="14.42578125" customWidth="1"/>
  </cols>
  <sheetData>
    <row r="1" spans="1:13" x14ac:dyDescent="0.25">
      <c r="A1" t="s">
        <v>0</v>
      </c>
      <c r="B1" t="s">
        <v>1</v>
      </c>
      <c r="C1" t="s">
        <v>2</v>
      </c>
      <c r="D1" t="s">
        <v>3</v>
      </c>
      <c r="E1" t="s">
        <v>4</v>
      </c>
      <c r="F1" s="1" t="s">
        <v>5</v>
      </c>
      <c r="G1" s="1" t="s">
        <v>433</v>
      </c>
      <c r="H1" t="s">
        <v>6</v>
      </c>
      <c r="I1" t="s">
        <v>434</v>
      </c>
      <c r="J1" s="1" t="s">
        <v>7</v>
      </c>
      <c r="K1" s="1" t="s">
        <v>435</v>
      </c>
      <c r="L1" t="s">
        <v>8</v>
      </c>
      <c r="M1" t="s">
        <v>436</v>
      </c>
    </row>
    <row r="2" spans="1:13" x14ac:dyDescent="0.25">
      <c r="A2" t="s">
        <v>9</v>
      </c>
      <c r="B2" t="s">
        <v>10</v>
      </c>
      <c r="C2" t="s">
        <v>11</v>
      </c>
      <c r="D2" t="s">
        <v>12</v>
      </c>
      <c r="E2" t="s">
        <v>13</v>
      </c>
      <c r="F2" s="1">
        <v>32</v>
      </c>
      <c r="G2" s="1" t="s">
        <v>437</v>
      </c>
      <c r="H2" s="5">
        <v>8657</v>
      </c>
      <c r="I2" t="s">
        <v>438</v>
      </c>
      <c r="J2" s="1">
        <v>7</v>
      </c>
      <c r="K2" s="1" t="s">
        <v>439</v>
      </c>
      <c r="L2">
        <v>97</v>
      </c>
      <c r="M2" t="s">
        <v>440</v>
      </c>
    </row>
    <row r="3" spans="1:13" x14ac:dyDescent="0.25">
      <c r="A3" t="s">
        <v>14</v>
      </c>
      <c r="B3" t="s">
        <v>15</v>
      </c>
      <c r="C3" t="s">
        <v>11</v>
      </c>
      <c r="D3" t="s">
        <v>16</v>
      </c>
      <c r="E3" t="s">
        <v>17</v>
      </c>
      <c r="F3" s="1">
        <v>4</v>
      </c>
      <c r="G3" s="1" t="s">
        <v>441</v>
      </c>
      <c r="H3" s="5">
        <v>6535</v>
      </c>
      <c r="I3" t="s">
        <v>438</v>
      </c>
      <c r="J3" s="1">
        <v>8</v>
      </c>
      <c r="K3" s="1" t="s">
        <v>439</v>
      </c>
      <c r="L3">
        <v>64</v>
      </c>
      <c r="M3" t="s">
        <v>442</v>
      </c>
    </row>
    <row r="4" spans="1:13" x14ac:dyDescent="0.25">
      <c r="A4" t="s">
        <v>18</v>
      </c>
      <c r="B4" t="s">
        <v>19</v>
      </c>
      <c r="C4" t="s">
        <v>11</v>
      </c>
      <c r="D4" t="s">
        <v>20</v>
      </c>
      <c r="E4" t="s">
        <v>17</v>
      </c>
      <c r="F4" s="1">
        <v>84</v>
      </c>
      <c r="G4" s="1" t="s">
        <v>443</v>
      </c>
      <c r="H4" s="5">
        <v>16490</v>
      </c>
      <c r="I4" t="s">
        <v>444</v>
      </c>
      <c r="J4" s="1">
        <v>13</v>
      </c>
      <c r="K4" s="1" t="s">
        <v>445</v>
      </c>
      <c r="L4">
        <v>76</v>
      </c>
      <c r="M4" t="s">
        <v>440</v>
      </c>
    </row>
    <row r="5" spans="1:13" x14ac:dyDescent="0.25">
      <c r="A5" t="s">
        <v>21</v>
      </c>
      <c r="B5" t="s">
        <v>22</v>
      </c>
      <c r="C5" t="s">
        <v>23</v>
      </c>
      <c r="D5" t="s">
        <v>16</v>
      </c>
      <c r="E5" t="s">
        <v>17</v>
      </c>
      <c r="F5" s="1">
        <v>1</v>
      </c>
      <c r="G5" s="1" t="s">
        <v>441</v>
      </c>
      <c r="H5" s="5">
        <v>1754</v>
      </c>
      <c r="I5" t="s">
        <v>438</v>
      </c>
      <c r="J5" s="1">
        <v>1</v>
      </c>
      <c r="K5" s="1" t="s">
        <v>446</v>
      </c>
      <c r="L5">
        <v>94</v>
      </c>
      <c r="M5" t="s">
        <v>440</v>
      </c>
    </row>
    <row r="6" spans="1:13" x14ac:dyDescent="0.25">
      <c r="A6" t="s">
        <v>24</v>
      </c>
      <c r="B6" t="s">
        <v>25</v>
      </c>
      <c r="C6" t="s">
        <v>26</v>
      </c>
      <c r="D6" t="s">
        <v>27</v>
      </c>
      <c r="E6" t="s">
        <v>17</v>
      </c>
      <c r="F6" s="1">
        <v>44</v>
      </c>
      <c r="G6" s="1" t="s">
        <v>437</v>
      </c>
      <c r="H6" s="5">
        <v>1837</v>
      </c>
      <c r="I6" t="s">
        <v>438</v>
      </c>
      <c r="J6" s="1">
        <v>3</v>
      </c>
      <c r="K6" s="1" t="s">
        <v>447</v>
      </c>
      <c r="L6">
        <v>74</v>
      </c>
      <c r="M6" t="s">
        <v>440</v>
      </c>
    </row>
    <row r="7" spans="1:13" x14ac:dyDescent="0.25">
      <c r="A7" t="s">
        <v>28</v>
      </c>
      <c r="B7" t="s">
        <v>15</v>
      </c>
      <c r="C7" t="s">
        <v>26</v>
      </c>
      <c r="D7" t="s">
        <v>29</v>
      </c>
      <c r="E7" t="s">
        <v>13</v>
      </c>
      <c r="F7" s="1">
        <v>6</v>
      </c>
      <c r="G7" s="1" t="s">
        <v>448</v>
      </c>
      <c r="H7" s="5">
        <v>6977</v>
      </c>
      <c r="I7" t="s">
        <v>438</v>
      </c>
      <c r="J7" s="1">
        <v>9</v>
      </c>
      <c r="K7" s="1" t="s">
        <v>439</v>
      </c>
      <c r="L7">
        <v>84</v>
      </c>
      <c r="M7" t="s">
        <v>440</v>
      </c>
    </row>
    <row r="8" spans="1:13" x14ac:dyDescent="0.25">
      <c r="A8" t="s">
        <v>30</v>
      </c>
      <c r="B8" t="s">
        <v>15</v>
      </c>
      <c r="C8" t="s">
        <v>23</v>
      </c>
      <c r="D8" t="s">
        <v>31</v>
      </c>
      <c r="E8" t="s">
        <v>13</v>
      </c>
      <c r="F8" s="1">
        <v>81</v>
      </c>
      <c r="G8" s="1" t="s">
        <v>443</v>
      </c>
      <c r="H8" s="5">
        <v>1466</v>
      </c>
      <c r="I8" t="s">
        <v>438</v>
      </c>
      <c r="J8" s="1">
        <v>2</v>
      </c>
      <c r="K8" s="1" t="s">
        <v>446</v>
      </c>
      <c r="L8">
        <v>86</v>
      </c>
      <c r="M8" t="s">
        <v>440</v>
      </c>
    </row>
    <row r="9" spans="1:13" x14ac:dyDescent="0.25">
      <c r="A9" t="s">
        <v>32</v>
      </c>
      <c r="B9" t="s">
        <v>22</v>
      </c>
      <c r="C9" t="s">
        <v>11</v>
      </c>
      <c r="D9" t="s">
        <v>12</v>
      </c>
      <c r="E9" t="s">
        <v>13</v>
      </c>
      <c r="F9" s="1">
        <v>38</v>
      </c>
      <c r="G9" s="1" t="s">
        <v>437</v>
      </c>
      <c r="H9" s="5">
        <v>6307</v>
      </c>
      <c r="I9" t="s">
        <v>438</v>
      </c>
      <c r="J9" s="1">
        <v>8</v>
      </c>
      <c r="K9" s="1" t="s">
        <v>439</v>
      </c>
      <c r="L9">
        <v>56</v>
      </c>
      <c r="M9" t="s">
        <v>442</v>
      </c>
    </row>
    <row r="10" spans="1:13" x14ac:dyDescent="0.25">
      <c r="A10" t="s">
        <v>33</v>
      </c>
      <c r="B10" t="s">
        <v>25</v>
      </c>
      <c r="C10" t="s">
        <v>26</v>
      </c>
      <c r="D10" t="s">
        <v>34</v>
      </c>
      <c r="E10" t="s">
        <v>13</v>
      </c>
      <c r="F10" s="1">
        <v>47</v>
      </c>
      <c r="G10" s="1" t="s">
        <v>449</v>
      </c>
      <c r="H10" s="5">
        <v>2332</v>
      </c>
      <c r="I10" t="s">
        <v>438</v>
      </c>
      <c r="J10" s="1">
        <v>7</v>
      </c>
      <c r="K10" s="1" t="s">
        <v>439</v>
      </c>
      <c r="L10">
        <v>72</v>
      </c>
      <c r="M10" t="s">
        <v>440</v>
      </c>
    </row>
    <row r="11" spans="1:13" x14ac:dyDescent="0.25">
      <c r="A11" t="s">
        <v>35</v>
      </c>
      <c r="B11" t="s">
        <v>22</v>
      </c>
      <c r="C11" t="s">
        <v>26</v>
      </c>
      <c r="D11" t="s">
        <v>31</v>
      </c>
      <c r="E11" t="s">
        <v>13</v>
      </c>
      <c r="F11" s="1">
        <v>22</v>
      </c>
      <c r="G11" s="1" t="s">
        <v>450</v>
      </c>
      <c r="H11" s="5">
        <v>5375</v>
      </c>
      <c r="I11" t="s">
        <v>438</v>
      </c>
      <c r="J11" s="1">
        <v>5</v>
      </c>
      <c r="K11" s="1" t="s">
        <v>447</v>
      </c>
      <c r="L11">
        <v>60</v>
      </c>
      <c r="M11" t="s">
        <v>442</v>
      </c>
    </row>
    <row r="12" spans="1:13" x14ac:dyDescent="0.25">
      <c r="A12" t="s">
        <v>36</v>
      </c>
      <c r="B12" t="s">
        <v>25</v>
      </c>
      <c r="C12" t="s">
        <v>23</v>
      </c>
      <c r="D12" t="s">
        <v>27</v>
      </c>
      <c r="E12" t="s">
        <v>37</v>
      </c>
      <c r="F12" s="1">
        <v>82</v>
      </c>
      <c r="G12" s="1" t="s">
        <v>443</v>
      </c>
      <c r="H12" s="5">
        <v>1609</v>
      </c>
      <c r="I12" t="s">
        <v>438</v>
      </c>
      <c r="J12" s="1">
        <v>3</v>
      </c>
      <c r="K12" s="1" t="s">
        <v>447</v>
      </c>
      <c r="L12">
        <v>64</v>
      </c>
      <c r="M12" t="s">
        <v>442</v>
      </c>
    </row>
    <row r="13" spans="1:13" x14ac:dyDescent="0.25">
      <c r="A13" t="s">
        <v>38</v>
      </c>
      <c r="B13" t="s">
        <v>10</v>
      </c>
      <c r="C13" t="s">
        <v>26</v>
      </c>
      <c r="D13" t="s">
        <v>12</v>
      </c>
      <c r="E13" t="s">
        <v>17</v>
      </c>
      <c r="F13" s="1">
        <v>5</v>
      </c>
      <c r="G13" s="1" t="s">
        <v>441</v>
      </c>
      <c r="H13" s="5">
        <v>3584</v>
      </c>
      <c r="I13" t="s">
        <v>438</v>
      </c>
      <c r="J13" s="1">
        <v>8</v>
      </c>
      <c r="K13" s="1" t="s">
        <v>439</v>
      </c>
      <c r="L13">
        <v>67</v>
      </c>
      <c r="M13" t="s">
        <v>440</v>
      </c>
    </row>
    <row r="14" spans="1:13" x14ac:dyDescent="0.25">
      <c r="A14" t="s">
        <v>39</v>
      </c>
      <c r="B14" t="s">
        <v>15</v>
      </c>
      <c r="C14" t="s">
        <v>40</v>
      </c>
      <c r="D14" t="s">
        <v>16</v>
      </c>
      <c r="E14" t="s">
        <v>13</v>
      </c>
      <c r="F14" s="1">
        <v>41</v>
      </c>
      <c r="G14" s="1" t="s">
        <v>437</v>
      </c>
      <c r="H14" s="5">
        <v>2241</v>
      </c>
      <c r="I14" t="s">
        <v>438</v>
      </c>
      <c r="J14" s="1">
        <v>4</v>
      </c>
      <c r="K14" s="1" t="s">
        <v>447</v>
      </c>
      <c r="L14">
        <v>75</v>
      </c>
      <c r="M14" t="s">
        <v>440</v>
      </c>
    </row>
    <row r="15" spans="1:13" x14ac:dyDescent="0.25">
      <c r="A15" t="s">
        <v>41</v>
      </c>
      <c r="B15" t="s">
        <v>10</v>
      </c>
      <c r="C15" t="s">
        <v>23</v>
      </c>
      <c r="D15" t="s">
        <v>42</v>
      </c>
      <c r="E15" t="s">
        <v>17</v>
      </c>
      <c r="F15" s="1">
        <v>32</v>
      </c>
      <c r="G15" s="1" t="s">
        <v>437</v>
      </c>
      <c r="H15" s="5">
        <v>1725</v>
      </c>
      <c r="I15" t="s">
        <v>438</v>
      </c>
      <c r="J15" s="1">
        <v>3</v>
      </c>
      <c r="K15" s="1" t="s">
        <v>447</v>
      </c>
      <c r="L15">
        <v>84</v>
      </c>
      <c r="M15" t="s">
        <v>440</v>
      </c>
    </row>
    <row r="16" spans="1:13" x14ac:dyDescent="0.25">
      <c r="A16" t="s">
        <v>43</v>
      </c>
      <c r="B16" t="s">
        <v>44</v>
      </c>
      <c r="C16" t="s">
        <v>23</v>
      </c>
      <c r="D16" t="s">
        <v>16</v>
      </c>
      <c r="E16" t="s">
        <v>17</v>
      </c>
      <c r="F16" s="1">
        <v>29</v>
      </c>
      <c r="G16" s="1" t="s">
        <v>450</v>
      </c>
      <c r="H16" s="5">
        <v>483</v>
      </c>
      <c r="I16" t="s">
        <v>438</v>
      </c>
      <c r="J16" s="1">
        <v>3</v>
      </c>
      <c r="K16" s="1" t="s">
        <v>447</v>
      </c>
      <c r="L16">
        <v>81</v>
      </c>
      <c r="M16" t="s">
        <v>440</v>
      </c>
    </row>
    <row r="17" spans="1:13" x14ac:dyDescent="0.25">
      <c r="A17" t="s">
        <v>45</v>
      </c>
      <c r="B17" t="s">
        <v>15</v>
      </c>
      <c r="C17" t="s">
        <v>11</v>
      </c>
      <c r="D17" t="s">
        <v>31</v>
      </c>
      <c r="E17" t="s">
        <v>17</v>
      </c>
      <c r="F17" s="1">
        <v>21</v>
      </c>
      <c r="G17" s="1" t="s">
        <v>450</v>
      </c>
      <c r="H17" s="5">
        <v>17977</v>
      </c>
      <c r="I17" t="s">
        <v>444</v>
      </c>
      <c r="J17" s="1">
        <v>15</v>
      </c>
      <c r="K17" s="1" t="s">
        <v>445</v>
      </c>
      <c r="L17">
        <v>77</v>
      </c>
      <c r="M17" t="s">
        <v>440</v>
      </c>
    </row>
    <row r="18" spans="1:13" x14ac:dyDescent="0.25">
      <c r="A18" t="s">
        <v>46</v>
      </c>
      <c r="B18" t="s">
        <v>19</v>
      </c>
      <c r="C18" t="s">
        <v>11</v>
      </c>
      <c r="D18" t="s">
        <v>47</v>
      </c>
      <c r="E18" t="s">
        <v>17</v>
      </c>
      <c r="F18" s="1">
        <v>60</v>
      </c>
      <c r="G18" s="1" t="s">
        <v>449</v>
      </c>
      <c r="H18" s="5">
        <v>13669</v>
      </c>
      <c r="I18" t="s">
        <v>444</v>
      </c>
      <c r="J18" s="1">
        <v>9</v>
      </c>
      <c r="K18" s="1" t="s">
        <v>439</v>
      </c>
      <c r="L18">
        <v>85</v>
      </c>
      <c r="M18" t="s">
        <v>440</v>
      </c>
    </row>
    <row r="19" spans="1:13" x14ac:dyDescent="0.25">
      <c r="A19" t="s">
        <v>48</v>
      </c>
      <c r="B19" t="s">
        <v>49</v>
      </c>
      <c r="C19" t="s">
        <v>11</v>
      </c>
      <c r="D19" t="s">
        <v>31</v>
      </c>
      <c r="E19" t="s">
        <v>13</v>
      </c>
      <c r="F19" s="1">
        <v>69</v>
      </c>
      <c r="G19" s="1" t="s">
        <v>443</v>
      </c>
      <c r="H19" s="5">
        <v>17302</v>
      </c>
      <c r="I19" t="s">
        <v>444</v>
      </c>
      <c r="J19" s="1">
        <v>9</v>
      </c>
      <c r="K19" s="1" t="s">
        <v>439</v>
      </c>
      <c r="L19">
        <v>99</v>
      </c>
      <c r="M19" t="s">
        <v>440</v>
      </c>
    </row>
    <row r="20" spans="1:13" x14ac:dyDescent="0.25">
      <c r="A20" t="s">
        <v>50</v>
      </c>
      <c r="B20" t="s">
        <v>10</v>
      </c>
      <c r="C20" t="s">
        <v>26</v>
      </c>
      <c r="D20" t="s">
        <v>31</v>
      </c>
      <c r="E20" t="s">
        <v>17</v>
      </c>
      <c r="F20" s="1">
        <v>21</v>
      </c>
      <c r="G20" s="1" t="s">
        <v>450</v>
      </c>
      <c r="H20" s="5">
        <v>4716</v>
      </c>
      <c r="I20" t="s">
        <v>438</v>
      </c>
      <c r="J20" s="1">
        <v>2</v>
      </c>
      <c r="K20" s="1" t="s">
        <v>446</v>
      </c>
      <c r="L20">
        <v>96</v>
      </c>
      <c r="M20" t="s">
        <v>440</v>
      </c>
    </row>
    <row r="21" spans="1:13" x14ac:dyDescent="0.25">
      <c r="A21" t="s">
        <v>51</v>
      </c>
      <c r="B21" t="s">
        <v>10</v>
      </c>
      <c r="C21" t="s">
        <v>26</v>
      </c>
      <c r="D21" t="s">
        <v>20</v>
      </c>
      <c r="E21" t="s">
        <v>13</v>
      </c>
      <c r="F21" s="1">
        <v>65</v>
      </c>
      <c r="G21" s="1" t="s">
        <v>443</v>
      </c>
      <c r="H21" s="5">
        <v>1871</v>
      </c>
      <c r="I21" t="s">
        <v>438</v>
      </c>
      <c r="J21" s="1">
        <v>6</v>
      </c>
      <c r="K21" s="1" t="s">
        <v>439</v>
      </c>
      <c r="L21">
        <v>90</v>
      </c>
      <c r="M21" t="s">
        <v>440</v>
      </c>
    </row>
    <row r="22" spans="1:13" x14ac:dyDescent="0.25">
      <c r="A22" t="s">
        <v>52</v>
      </c>
      <c r="B22" t="s">
        <v>19</v>
      </c>
      <c r="C22" t="s">
        <v>40</v>
      </c>
      <c r="D22" t="s">
        <v>42</v>
      </c>
      <c r="E22" t="s">
        <v>17</v>
      </c>
      <c r="F22" s="1">
        <v>21</v>
      </c>
      <c r="G22" s="1" t="s">
        <v>450</v>
      </c>
      <c r="H22" s="5">
        <v>4918</v>
      </c>
      <c r="I22" t="s">
        <v>438</v>
      </c>
      <c r="J22" s="1">
        <v>5</v>
      </c>
      <c r="K22" s="1" t="s">
        <v>447</v>
      </c>
      <c r="L22">
        <v>50</v>
      </c>
      <c r="M22" t="s">
        <v>442</v>
      </c>
    </row>
    <row r="23" spans="1:13" x14ac:dyDescent="0.25">
      <c r="A23" t="s">
        <v>53</v>
      </c>
      <c r="B23" t="s">
        <v>19</v>
      </c>
      <c r="C23" t="s">
        <v>26</v>
      </c>
      <c r="D23" t="s">
        <v>34</v>
      </c>
      <c r="E23" t="s">
        <v>17</v>
      </c>
      <c r="F23" s="1">
        <v>47</v>
      </c>
      <c r="G23" s="1" t="s">
        <v>449</v>
      </c>
      <c r="H23" s="5">
        <v>3519</v>
      </c>
      <c r="I23" t="s">
        <v>438</v>
      </c>
      <c r="J23" s="1">
        <v>5</v>
      </c>
      <c r="K23" s="1" t="s">
        <v>447</v>
      </c>
      <c r="L23">
        <v>53</v>
      </c>
      <c r="M23" t="s">
        <v>442</v>
      </c>
    </row>
    <row r="24" spans="1:13" x14ac:dyDescent="0.25">
      <c r="A24" t="s">
        <v>54</v>
      </c>
      <c r="B24" t="s">
        <v>22</v>
      </c>
      <c r="C24" t="s">
        <v>11</v>
      </c>
      <c r="D24" t="s">
        <v>31</v>
      </c>
      <c r="E24" t="s">
        <v>13</v>
      </c>
      <c r="F24" s="1">
        <v>9</v>
      </c>
      <c r="G24" s="1" t="s">
        <v>448</v>
      </c>
      <c r="H24" s="5">
        <v>17461</v>
      </c>
      <c r="I24" t="s">
        <v>444</v>
      </c>
      <c r="J24" s="1">
        <v>13</v>
      </c>
      <c r="K24" s="1" t="s">
        <v>445</v>
      </c>
      <c r="L24">
        <v>99</v>
      </c>
      <c r="M24" t="s">
        <v>440</v>
      </c>
    </row>
    <row r="25" spans="1:13" x14ac:dyDescent="0.25">
      <c r="A25" t="s">
        <v>55</v>
      </c>
      <c r="B25" t="s">
        <v>22</v>
      </c>
      <c r="C25" t="s">
        <v>40</v>
      </c>
      <c r="D25" t="s">
        <v>34</v>
      </c>
      <c r="E25" t="s">
        <v>13</v>
      </c>
      <c r="F25" s="1">
        <v>22</v>
      </c>
      <c r="G25" s="1" t="s">
        <v>450</v>
      </c>
      <c r="H25" s="5">
        <v>2671</v>
      </c>
      <c r="I25" t="s">
        <v>438</v>
      </c>
      <c r="J25" s="1">
        <v>5</v>
      </c>
      <c r="K25" s="1" t="s">
        <v>447</v>
      </c>
      <c r="L25">
        <v>88</v>
      </c>
      <c r="M25" t="s">
        <v>440</v>
      </c>
    </row>
    <row r="26" spans="1:13" x14ac:dyDescent="0.25">
      <c r="A26" t="s">
        <v>56</v>
      </c>
      <c r="B26" t="s">
        <v>25</v>
      </c>
      <c r="C26" t="s">
        <v>40</v>
      </c>
      <c r="D26" t="s">
        <v>20</v>
      </c>
      <c r="E26" t="s">
        <v>13</v>
      </c>
      <c r="F26" s="1">
        <v>89</v>
      </c>
      <c r="G26" s="1" t="s">
        <v>443</v>
      </c>
      <c r="H26" s="5">
        <v>2147</v>
      </c>
      <c r="I26" t="s">
        <v>438</v>
      </c>
      <c r="J26" s="1">
        <v>3</v>
      </c>
      <c r="K26" s="1" t="s">
        <v>447</v>
      </c>
      <c r="L26">
        <v>75</v>
      </c>
      <c r="M26" t="s">
        <v>440</v>
      </c>
    </row>
    <row r="27" spans="1:13" x14ac:dyDescent="0.25">
      <c r="A27" t="s">
        <v>57</v>
      </c>
      <c r="B27" t="s">
        <v>10</v>
      </c>
      <c r="C27" t="s">
        <v>26</v>
      </c>
      <c r="D27" t="s">
        <v>34</v>
      </c>
      <c r="E27" t="s">
        <v>13</v>
      </c>
      <c r="F27" s="1">
        <v>58</v>
      </c>
      <c r="G27" s="1" t="s">
        <v>449</v>
      </c>
      <c r="H27" s="5">
        <v>1991</v>
      </c>
      <c r="I27" t="s">
        <v>438</v>
      </c>
      <c r="J27" s="1">
        <v>5</v>
      </c>
      <c r="K27" s="1" t="s">
        <v>447</v>
      </c>
      <c r="L27">
        <v>64</v>
      </c>
      <c r="M27" t="s">
        <v>442</v>
      </c>
    </row>
    <row r="28" spans="1:13" x14ac:dyDescent="0.25">
      <c r="A28" t="s">
        <v>58</v>
      </c>
      <c r="B28" t="s">
        <v>15</v>
      </c>
      <c r="C28" t="s">
        <v>26</v>
      </c>
      <c r="D28" t="s">
        <v>12</v>
      </c>
      <c r="E28" t="s">
        <v>13</v>
      </c>
      <c r="F28" s="1">
        <v>30</v>
      </c>
      <c r="G28" s="1" t="s">
        <v>437</v>
      </c>
      <c r="H28" s="5">
        <v>5820</v>
      </c>
      <c r="I28" t="s">
        <v>438</v>
      </c>
      <c r="J28" s="1">
        <v>5</v>
      </c>
      <c r="K28" s="1" t="s">
        <v>447</v>
      </c>
      <c r="L28">
        <v>50</v>
      </c>
      <c r="M28" t="s">
        <v>442</v>
      </c>
    </row>
    <row r="29" spans="1:13" x14ac:dyDescent="0.25">
      <c r="A29" t="s">
        <v>59</v>
      </c>
      <c r="B29" t="s">
        <v>15</v>
      </c>
      <c r="C29" t="s">
        <v>11</v>
      </c>
      <c r="D29" t="s">
        <v>60</v>
      </c>
      <c r="E29" t="s">
        <v>17</v>
      </c>
      <c r="F29" s="1">
        <v>5</v>
      </c>
      <c r="G29" s="1" t="s">
        <v>441</v>
      </c>
      <c r="H29" s="5">
        <v>19084</v>
      </c>
      <c r="I29" t="s">
        <v>444</v>
      </c>
      <c r="J29" s="1">
        <v>10</v>
      </c>
      <c r="K29" s="1" t="s">
        <v>439</v>
      </c>
      <c r="L29">
        <v>54</v>
      </c>
      <c r="M29" t="s">
        <v>442</v>
      </c>
    </row>
    <row r="30" spans="1:13" x14ac:dyDescent="0.25">
      <c r="A30" t="s">
        <v>61</v>
      </c>
      <c r="B30" t="s">
        <v>19</v>
      </c>
      <c r="C30" t="s">
        <v>40</v>
      </c>
      <c r="D30" t="s">
        <v>27</v>
      </c>
      <c r="E30" t="s">
        <v>13</v>
      </c>
      <c r="F30" s="1">
        <v>28</v>
      </c>
      <c r="G30" s="1" t="s">
        <v>450</v>
      </c>
      <c r="H30" s="5">
        <v>4917</v>
      </c>
      <c r="I30" t="s">
        <v>438</v>
      </c>
      <c r="J30" s="1">
        <v>2</v>
      </c>
      <c r="K30" s="1" t="s">
        <v>446</v>
      </c>
      <c r="L30">
        <v>96</v>
      </c>
      <c r="M30" t="s">
        <v>440</v>
      </c>
    </row>
    <row r="31" spans="1:13" x14ac:dyDescent="0.25">
      <c r="A31" t="s">
        <v>62</v>
      </c>
      <c r="B31" t="s">
        <v>19</v>
      </c>
      <c r="C31" t="s">
        <v>23</v>
      </c>
      <c r="D31" t="s">
        <v>60</v>
      </c>
      <c r="E31" t="s">
        <v>13</v>
      </c>
      <c r="F31" s="1">
        <v>53</v>
      </c>
      <c r="G31" s="1" t="s">
        <v>449</v>
      </c>
      <c r="H31" s="5">
        <v>589</v>
      </c>
      <c r="I31" t="s">
        <v>438</v>
      </c>
      <c r="J31" s="1">
        <v>1</v>
      </c>
      <c r="K31" s="1" t="s">
        <v>446</v>
      </c>
      <c r="L31">
        <v>56</v>
      </c>
      <c r="M31" t="s">
        <v>442</v>
      </c>
    </row>
    <row r="32" spans="1:13" x14ac:dyDescent="0.25">
      <c r="A32" t="s">
        <v>63</v>
      </c>
      <c r="B32" t="s">
        <v>10</v>
      </c>
      <c r="C32" t="s">
        <v>23</v>
      </c>
      <c r="D32" t="s">
        <v>29</v>
      </c>
      <c r="E32" t="s">
        <v>17</v>
      </c>
      <c r="F32" s="1">
        <v>60</v>
      </c>
      <c r="G32" s="1" t="s">
        <v>449</v>
      </c>
      <c r="H32" s="5">
        <v>1969</v>
      </c>
      <c r="I32" t="s">
        <v>438</v>
      </c>
      <c r="J32" s="1">
        <v>3</v>
      </c>
      <c r="K32" s="1" t="s">
        <v>447</v>
      </c>
      <c r="L32">
        <v>53</v>
      </c>
      <c r="M32" t="s">
        <v>442</v>
      </c>
    </row>
    <row r="33" spans="1:13" x14ac:dyDescent="0.25">
      <c r="A33" t="s">
        <v>64</v>
      </c>
      <c r="B33" t="s">
        <v>10</v>
      </c>
      <c r="C33" t="s">
        <v>11</v>
      </c>
      <c r="D33" t="s">
        <v>12</v>
      </c>
      <c r="E33" t="s">
        <v>17</v>
      </c>
      <c r="F33" s="1">
        <v>44</v>
      </c>
      <c r="G33" s="1" t="s">
        <v>437</v>
      </c>
      <c r="H33" s="5">
        <v>18116</v>
      </c>
      <c r="I33" t="s">
        <v>444</v>
      </c>
      <c r="J33" s="1">
        <v>6</v>
      </c>
      <c r="K33" s="1" t="s">
        <v>439</v>
      </c>
      <c r="L33">
        <v>65</v>
      </c>
      <c r="M33" t="s">
        <v>442</v>
      </c>
    </row>
    <row r="34" spans="1:13" x14ac:dyDescent="0.25">
      <c r="A34" t="s">
        <v>65</v>
      </c>
      <c r="B34" t="s">
        <v>22</v>
      </c>
      <c r="C34" t="s">
        <v>40</v>
      </c>
      <c r="D34" t="s">
        <v>20</v>
      </c>
      <c r="E34" t="s">
        <v>17</v>
      </c>
      <c r="F34" s="1">
        <v>55</v>
      </c>
      <c r="G34" s="1" t="s">
        <v>449</v>
      </c>
      <c r="H34" s="5">
        <v>2003</v>
      </c>
      <c r="I34" t="s">
        <v>438</v>
      </c>
      <c r="J34" s="1">
        <v>3</v>
      </c>
      <c r="K34" s="1" t="s">
        <v>447</v>
      </c>
      <c r="L34">
        <v>79</v>
      </c>
      <c r="M34" t="s">
        <v>440</v>
      </c>
    </row>
    <row r="35" spans="1:13" x14ac:dyDescent="0.25">
      <c r="A35" t="s">
        <v>66</v>
      </c>
      <c r="B35" t="s">
        <v>22</v>
      </c>
      <c r="C35" t="s">
        <v>11</v>
      </c>
      <c r="D35" t="s">
        <v>34</v>
      </c>
      <c r="E35" t="s">
        <v>13</v>
      </c>
      <c r="F35" s="1">
        <v>71</v>
      </c>
      <c r="G35" s="1" t="s">
        <v>443</v>
      </c>
      <c r="H35" s="5">
        <v>6604</v>
      </c>
      <c r="I35" t="s">
        <v>438</v>
      </c>
      <c r="J35" s="1">
        <v>5</v>
      </c>
      <c r="K35" s="1" t="s">
        <v>447</v>
      </c>
      <c r="L35">
        <v>91</v>
      </c>
      <c r="M35" t="s">
        <v>440</v>
      </c>
    </row>
    <row r="36" spans="1:13" x14ac:dyDescent="0.25">
      <c r="A36" t="s">
        <v>67</v>
      </c>
      <c r="B36" t="s">
        <v>19</v>
      </c>
      <c r="C36" t="s">
        <v>11</v>
      </c>
      <c r="D36" t="s">
        <v>31</v>
      </c>
      <c r="E36" t="s">
        <v>13</v>
      </c>
      <c r="F36" s="1">
        <v>31</v>
      </c>
      <c r="G36" s="1" t="s">
        <v>437</v>
      </c>
      <c r="H36" s="5">
        <v>7724</v>
      </c>
      <c r="I36" t="s">
        <v>438</v>
      </c>
      <c r="J36" s="1">
        <v>11</v>
      </c>
      <c r="K36" s="1" t="s">
        <v>445</v>
      </c>
      <c r="L36">
        <v>81</v>
      </c>
      <c r="M36" t="s">
        <v>440</v>
      </c>
    </row>
    <row r="37" spans="1:13" x14ac:dyDescent="0.25">
      <c r="A37" t="s">
        <v>68</v>
      </c>
      <c r="B37" t="s">
        <v>25</v>
      </c>
      <c r="C37" t="s">
        <v>40</v>
      </c>
      <c r="D37" t="s">
        <v>47</v>
      </c>
      <c r="E37" t="s">
        <v>13</v>
      </c>
      <c r="F37" s="1">
        <v>22</v>
      </c>
      <c r="G37" s="1" t="s">
        <v>450</v>
      </c>
      <c r="H37" s="5">
        <v>3604</v>
      </c>
      <c r="I37" t="s">
        <v>438</v>
      </c>
      <c r="J37" s="1">
        <v>1</v>
      </c>
      <c r="K37" s="1" t="s">
        <v>446</v>
      </c>
      <c r="L37">
        <v>74</v>
      </c>
      <c r="M37" t="s">
        <v>440</v>
      </c>
    </row>
    <row r="38" spans="1:13" x14ac:dyDescent="0.25">
      <c r="A38" t="s">
        <v>69</v>
      </c>
      <c r="B38" t="s">
        <v>44</v>
      </c>
      <c r="C38" t="s">
        <v>23</v>
      </c>
      <c r="D38" t="s">
        <v>27</v>
      </c>
      <c r="E38" t="s">
        <v>17</v>
      </c>
      <c r="F38" s="1">
        <v>72</v>
      </c>
      <c r="G38" s="1" t="s">
        <v>443</v>
      </c>
      <c r="H38" s="5">
        <v>1555</v>
      </c>
      <c r="I38" t="s">
        <v>438</v>
      </c>
      <c r="J38" s="1">
        <v>3</v>
      </c>
      <c r="K38" s="1" t="s">
        <v>447</v>
      </c>
      <c r="L38">
        <v>81</v>
      </c>
      <c r="M38" t="s">
        <v>440</v>
      </c>
    </row>
    <row r="39" spans="1:13" x14ac:dyDescent="0.25">
      <c r="A39" t="s">
        <v>70</v>
      </c>
      <c r="B39" t="s">
        <v>22</v>
      </c>
      <c r="C39" t="s">
        <v>40</v>
      </c>
      <c r="D39" t="s">
        <v>27</v>
      </c>
      <c r="E39" t="s">
        <v>17</v>
      </c>
      <c r="F39" s="1">
        <v>8</v>
      </c>
      <c r="G39" s="1" t="s">
        <v>448</v>
      </c>
      <c r="H39" s="5">
        <v>4941</v>
      </c>
      <c r="I39" t="s">
        <v>438</v>
      </c>
      <c r="J39" s="1">
        <v>1</v>
      </c>
      <c r="K39" s="1" t="s">
        <v>446</v>
      </c>
      <c r="L39">
        <v>97</v>
      </c>
      <c r="M39" t="s">
        <v>440</v>
      </c>
    </row>
    <row r="40" spans="1:13" x14ac:dyDescent="0.25">
      <c r="A40" t="s">
        <v>71</v>
      </c>
      <c r="B40" t="s">
        <v>44</v>
      </c>
      <c r="C40" t="s">
        <v>11</v>
      </c>
      <c r="D40" t="s">
        <v>12</v>
      </c>
      <c r="E40" t="s">
        <v>13</v>
      </c>
      <c r="F40" s="1">
        <v>65</v>
      </c>
      <c r="G40" s="1" t="s">
        <v>443</v>
      </c>
      <c r="H40" s="5">
        <v>18970</v>
      </c>
      <c r="I40" t="s">
        <v>444</v>
      </c>
      <c r="J40" s="1">
        <v>13</v>
      </c>
      <c r="K40" s="1" t="s">
        <v>445</v>
      </c>
      <c r="L40">
        <v>60</v>
      </c>
      <c r="M40" t="s">
        <v>442</v>
      </c>
    </row>
    <row r="41" spans="1:13" x14ac:dyDescent="0.25">
      <c r="A41" t="s">
        <v>72</v>
      </c>
      <c r="B41" t="s">
        <v>15</v>
      </c>
      <c r="C41" t="s">
        <v>11</v>
      </c>
      <c r="D41" t="s">
        <v>42</v>
      </c>
      <c r="E41" t="s">
        <v>17</v>
      </c>
      <c r="F41" s="1">
        <v>9</v>
      </c>
      <c r="G41" s="1" t="s">
        <v>448</v>
      </c>
      <c r="H41" s="5">
        <v>16062</v>
      </c>
      <c r="I41" t="s">
        <v>444</v>
      </c>
      <c r="J41" s="1">
        <v>8</v>
      </c>
      <c r="K41" s="1" t="s">
        <v>439</v>
      </c>
      <c r="L41">
        <v>75</v>
      </c>
      <c r="M41" t="s">
        <v>440</v>
      </c>
    </row>
    <row r="42" spans="1:13" x14ac:dyDescent="0.25">
      <c r="A42" t="s">
        <v>73</v>
      </c>
      <c r="B42" t="s">
        <v>15</v>
      </c>
      <c r="C42" t="s">
        <v>40</v>
      </c>
      <c r="D42" t="s">
        <v>16</v>
      </c>
      <c r="E42" t="s">
        <v>13</v>
      </c>
      <c r="F42" s="1">
        <v>80</v>
      </c>
      <c r="G42" s="1" t="s">
        <v>443</v>
      </c>
      <c r="H42" s="5">
        <v>1171</v>
      </c>
      <c r="I42" t="s">
        <v>438</v>
      </c>
      <c r="J42" s="1">
        <v>4</v>
      </c>
      <c r="K42" s="1" t="s">
        <v>447</v>
      </c>
      <c r="L42">
        <v>92</v>
      </c>
      <c r="M42" t="s">
        <v>440</v>
      </c>
    </row>
    <row r="43" spans="1:13" x14ac:dyDescent="0.25">
      <c r="A43" t="s">
        <v>74</v>
      </c>
      <c r="B43" t="s">
        <v>19</v>
      </c>
      <c r="C43" t="s">
        <v>26</v>
      </c>
      <c r="D43" t="s">
        <v>27</v>
      </c>
      <c r="E43" t="s">
        <v>17</v>
      </c>
      <c r="F43" s="1">
        <v>41</v>
      </c>
      <c r="G43" s="1" t="s">
        <v>437</v>
      </c>
      <c r="H43" s="5">
        <v>2955</v>
      </c>
      <c r="I43" t="s">
        <v>438</v>
      </c>
      <c r="J43" s="1">
        <v>6</v>
      </c>
      <c r="K43" s="1" t="s">
        <v>439</v>
      </c>
      <c r="L43">
        <v>75</v>
      </c>
      <c r="M43" t="s">
        <v>440</v>
      </c>
    </row>
    <row r="44" spans="1:13" x14ac:dyDescent="0.25">
      <c r="A44" t="s">
        <v>75</v>
      </c>
      <c r="B44" t="s">
        <v>22</v>
      </c>
      <c r="C44" t="s">
        <v>26</v>
      </c>
      <c r="D44" t="s">
        <v>34</v>
      </c>
      <c r="E44" t="s">
        <v>17</v>
      </c>
      <c r="F44" s="1">
        <v>10</v>
      </c>
      <c r="G44" s="1" t="s">
        <v>448</v>
      </c>
      <c r="H44" s="5">
        <v>1076</v>
      </c>
      <c r="I44" t="s">
        <v>438</v>
      </c>
      <c r="J44" s="1">
        <v>9</v>
      </c>
      <c r="K44" s="1" t="s">
        <v>439</v>
      </c>
      <c r="L44">
        <v>89</v>
      </c>
      <c r="M44" t="s">
        <v>440</v>
      </c>
    </row>
    <row r="45" spans="1:13" x14ac:dyDescent="0.25">
      <c r="A45" t="s">
        <v>76</v>
      </c>
      <c r="B45" t="s">
        <v>19</v>
      </c>
      <c r="C45" t="s">
        <v>11</v>
      </c>
      <c r="D45" t="s">
        <v>31</v>
      </c>
      <c r="E45" t="s">
        <v>13</v>
      </c>
      <c r="F45" s="1">
        <v>65</v>
      </c>
      <c r="G45" s="1" t="s">
        <v>443</v>
      </c>
      <c r="H45" s="5">
        <v>9345</v>
      </c>
      <c r="I45" t="s">
        <v>438</v>
      </c>
      <c r="J45" s="1">
        <v>7</v>
      </c>
      <c r="K45" s="1" t="s">
        <v>439</v>
      </c>
      <c r="L45">
        <v>72</v>
      </c>
      <c r="M45" t="s">
        <v>440</v>
      </c>
    </row>
    <row r="46" spans="1:13" x14ac:dyDescent="0.25">
      <c r="A46" t="s">
        <v>77</v>
      </c>
      <c r="B46" t="s">
        <v>15</v>
      </c>
      <c r="C46" t="s">
        <v>40</v>
      </c>
      <c r="D46" t="s">
        <v>29</v>
      </c>
      <c r="E46" t="s">
        <v>17</v>
      </c>
      <c r="F46" s="1">
        <v>57</v>
      </c>
      <c r="G46" s="1" t="s">
        <v>449</v>
      </c>
      <c r="H46" s="5">
        <v>4950</v>
      </c>
      <c r="I46" t="s">
        <v>438</v>
      </c>
      <c r="J46" s="1">
        <v>3</v>
      </c>
      <c r="K46" s="1" t="s">
        <v>447</v>
      </c>
      <c r="L46">
        <v>89</v>
      </c>
      <c r="M46" t="s">
        <v>440</v>
      </c>
    </row>
    <row r="47" spans="1:13" x14ac:dyDescent="0.25">
      <c r="A47" t="s">
        <v>78</v>
      </c>
      <c r="B47" t="s">
        <v>49</v>
      </c>
      <c r="C47" t="s">
        <v>11</v>
      </c>
      <c r="D47" t="s">
        <v>20</v>
      </c>
      <c r="E47" t="s">
        <v>17</v>
      </c>
      <c r="F47" s="1">
        <v>85</v>
      </c>
      <c r="G47" s="1" t="s">
        <v>443</v>
      </c>
      <c r="H47" s="5">
        <v>6697</v>
      </c>
      <c r="I47" t="s">
        <v>438</v>
      </c>
      <c r="J47" s="1">
        <v>7</v>
      </c>
      <c r="K47" s="1" t="s">
        <v>439</v>
      </c>
      <c r="L47">
        <v>66</v>
      </c>
      <c r="M47" t="s">
        <v>442</v>
      </c>
    </row>
    <row r="48" spans="1:13" x14ac:dyDescent="0.25">
      <c r="A48" t="s">
        <v>79</v>
      </c>
      <c r="B48" t="s">
        <v>15</v>
      </c>
      <c r="C48" t="s">
        <v>11</v>
      </c>
      <c r="D48" t="s">
        <v>20</v>
      </c>
      <c r="E48" t="s">
        <v>17</v>
      </c>
      <c r="F48" s="1">
        <v>37</v>
      </c>
      <c r="G48" s="1" t="s">
        <v>437</v>
      </c>
      <c r="H48" s="5">
        <v>14909</v>
      </c>
      <c r="I48" t="s">
        <v>444</v>
      </c>
      <c r="J48" s="1">
        <v>8</v>
      </c>
      <c r="K48" s="1" t="s">
        <v>439</v>
      </c>
      <c r="L48">
        <v>95</v>
      </c>
      <c r="M48" t="s">
        <v>440</v>
      </c>
    </row>
    <row r="49" spans="1:13" x14ac:dyDescent="0.25">
      <c r="A49" t="s">
        <v>80</v>
      </c>
      <c r="B49" t="s">
        <v>44</v>
      </c>
      <c r="C49" t="s">
        <v>40</v>
      </c>
      <c r="D49" t="s">
        <v>27</v>
      </c>
      <c r="E49" t="s">
        <v>13</v>
      </c>
      <c r="F49" s="1">
        <v>33</v>
      </c>
      <c r="G49" s="1" t="s">
        <v>437</v>
      </c>
      <c r="H49" s="5">
        <v>916</v>
      </c>
      <c r="I49" t="s">
        <v>438</v>
      </c>
      <c r="J49" s="1">
        <v>1</v>
      </c>
      <c r="K49" s="1" t="s">
        <v>446</v>
      </c>
      <c r="L49">
        <v>90</v>
      </c>
      <c r="M49" t="s">
        <v>440</v>
      </c>
    </row>
    <row r="50" spans="1:13" x14ac:dyDescent="0.25">
      <c r="A50" t="s">
        <v>81</v>
      </c>
      <c r="B50" t="s">
        <v>25</v>
      </c>
      <c r="C50" t="s">
        <v>26</v>
      </c>
      <c r="D50" t="s">
        <v>12</v>
      </c>
      <c r="E50" t="s">
        <v>17</v>
      </c>
      <c r="F50" s="1">
        <v>17</v>
      </c>
      <c r="G50" s="1" t="s">
        <v>451</v>
      </c>
      <c r="H50" s="5">
        <v>6219</v>
      </c>
      <c r="I50" t="s">
        <v>438</v>
      </c>
      <c r="J50" s="1">
        <v>6</v>
      </c>
      <c r="K50" s="1" t="s">
        <v>439</v>
      </c>
      <c r="L50">
        <v>60</v>
      </c>
      <c r="M50" t="s">
        <v>442</v>
      </c>
    </row>
    <row r="51" spans="1:13" x14ac:dyDescent="0.25">
      <c r="A51" t="s">
        <v>82</v>
      </c>
      <c r="B51" t="s">
        <v>10</v>
      </c>
      <c r="C51" t="s">
        <v>23</v>
      </c>
      <c r="D51" t="s">
        <v>20</v>
      </c>
      <c r="E51" t="s">
        <v>13</v>
      </c>
      <c r="F51" s="1">
        <v>72</v>
      </c>
      <c r="G51" s="1" t="s">
        <v>443</v>
      </c>
      <c r="H51" s="5">
        <v>219</v>
      </c>
      <c r="I51" t="s">
        <v>438</v>
      </c>
      <c r="J51" s="1">
        <v>1</v>
      </c>
      <c r="K51" s="1" t="s">
        <v>446</v>
      </c>
      <c r="L51">
        <v>54</v>
      </c>
      <c r="M51" t="s">
        <v>442</v>
      </c>
    </row>
    <row r="52" spans="1:13" x14ac:dyDescent="0.25">
      <c r="A52" t="s">
        <v>83</v>
      </c>
      <c r="B52" t="s">
        <v>10</v>
      </c>
      <c r="C52" t="s">
        <v>40</v>
      </c>
      <c r="D52" t="s">
        <v>20</v>
      </c>
      <c r="E52" t="s">
        <v>17</v>
      </c>
      <c r="F52" s="1">
        <v>48</v>
      </c>
      <c r="G52" s="1" t="s">
        <v>449</v>
      </c>
      <c r="H52" s="5">
        <v>1713</v>
      </c>
      <c r="I52" t="s">
        <v>438</v>
      </c>
      <c r="J52" s="1">
        <v>4</v>
      </c>
      <c r="K52" s="1" t="s">
        <v>447</v>
      </c>
      <c r="L52">
        <v>58</v>
      </c>
      <c r="M52" t="s">
        <v>442</v>
      </c>
    </row>
    <row r="53" spans="1:13" x14ac:dyDescent="0.25">
      <c r="A53" t="s">
        <v>84</v>
      </c>
      <c r="B53" t="s">
        <v>15</v>
      </c>
      <c r="C53" t="s">
        <v>26</v>
      </c>
      <c r="D53" t="s">
        <v>29</v>
      </c>
      <c r="E53" t="s">
        <v>13</v>
      </c>
      <c r="F53" s="1">
        <v>6</v>
      </c>
      <c r="G53" s="1" t="s">
        <v>448</v>
      </c>
      <c r="H53" s="5">
        <v>3931</v>
      </c>
      <c r="I53" t="s">
        <v>438</v>
      </c>
      <c r="J53" s="1">
        <v>5</v>
      </c>
      <c r="K53" s="1" t="s">
        <v>447</v>
      </c>
      <c r="L53">
        <v>93</v>
      </c>
      <c r="M53" t="s">
        <v>440</v>
      </c>
    </row>
    <row r="54" spans="1:13" x14ac:dyDescent="0.25">
      <c r="A54" t="s">
        <v>85</v>
      </c>
      <c r="B54" t="s">
        <v>22</v>
      </c>
      <c r="C54" t="s">
        <v>11</v>
      </c>
      <c r="D54" t="s">
        <v>29</v>
      </c>
      <c r="E54" t="s">
        <v>13</v>
      </c>
      <c r="F54" s="1">
        <v>53</v>
      </c>
      <c r="G54" s="1" t="s">
        <v>449</v>
      </c>
      <c r="H54" s="5">
        <v>15168</v>
      </c>
      <c r="I54" t="s">
        <v>444</v>
      </c>
      <c r="J54" s="1">
        <v>7</v>
      </c>
      <c r="K54" s="1" t="s">
        <v>439</v>
      </c>
      <c r="L54">
        <v>65</v>
      </c>
      <c r="M54" t="s">
        <v>442</v>
      </c>
    </row>
    <row r="55" spans="1:13" x14ac:dyDescent="0.25">
      <c r="A55" t="s">
        <v>86</v>
      </c>
      <c r="B55" t="s">
        <v>49</v>
      </c>
      <c r="C55" t="s">
        <v>40</v>
      </c>
      <c r="D55" t="s">
        <v>42</v>
      </c>
      <c r="E55" t="s">
        <v>13</v>
      </c>
      <c r="F55" s="1">
        <v>4</v>
      </c>
      <c r="G55" s="1" t="s">
        <v>441</v>
      </c>
      <c r="H55" s="5">
        <v>1969</v>
      </c>
      <c r="I55" t="s">
        <v>438</v>
      </c>
      <c r="J55" s="1">
        <v>3</v>
      </c>
      <c r="K55" s="1" t="s">
        <v>447</v>
      </c>
      <c r="L55">
        <v>100</v>
      </c>
      <c r="M55" t="s">
        <v>440</v>
      </c>
    </row>
    <row r="56" spans="1:13" x14ac:dyDescent="0.25">
      <c r="A56" t="s">
        <v>87</v>
      </c>
      <c r="B56" t="s">
        <v>25</v>
      </c>
      <c r="C56" t="s">
        <v>40</v>
      </c>
      <c r="D56" t="s">
        <v>27</v>
      </c>
      <c r="E56" t="s">
        <v>17</v>
      </c>
      <c r="F56" s="1">
        <v>90</v>
      </c>
      <c r="G56" s="1" t="s">
        <v>443</v>
      </c>
      <c r="H56" s="5">
        <v>1385</v>
      </c>
      <c r="I56" t="s">
        <v>438</v>
      </c>
      <c r="J56" s="1">
        <v>4</v>
      </c>
      <c r="K56" s="1" t="s">
        <v>447</v>
      </c>
      <c r="L56">
        <v>52</v>
      </c>
      <c r="M56" t="s">
        <v>442</v>
      </c>
    </row>
    <row r="57" spans="1:13" x14ac:dyDescent="0.25">
      <c r="A57" t="s">
        <v>88</v>
      </c>
      <c r="B57" t="s">
        <v>49</v>
      </c>
      <c r="C57" t="s">
        <v>23</v>
      </c>
      <c r="D57" t="s">
        <v>60</v>
      </c>
      <c r="E57" t="s">
        <v>17</v>
      </c>
      <c r="F57" s="1">
        <v>59</v>
      </c>
      <c r="G57" s="1" t="s">
        <v>449</v>
      </c>
      <c r="H57" s="5">
        <v>916</v>
      </c>
      <c r="I57" t="s">
        <v>438</v>
      </c>
      <c r="J57" s="1">
        <v>2</v>
      </c>
      <c r="K57" s="1" t="s">
        <v>446</v>
      </c>
      <c r="L57">
        <v>100</v>
      </c>
      <c r="M57" t="s">
        <v>440</v>
      </c>
    </row>
    <row r="58" spans="1:13" x14ac:dyDescent="0.25">
      <c r="A58" t="s">
        <v>89</v>
      </c>
      <c r="B58" t="s">
        <v>49</v>
      </c>
      <c r="C58" t="s">
        <v>40</v>
      </c>
      <c r="D58" t="s">
        <v>60</v>
      </c>
      <c r="E58" t="s">
        <v>17</v>
      </c>
      <c r="F58" s="1">
        <v>25</v>
      </c>
      <c r="G58" s="1" t="s">
        <v>450</v>
      </c>
      <c r="H58" s="5">
        <v>3764</v>
      </c>
      <c r="I58" t="s">
        <v>438</v>
      </c>
      <c r="J58" s="1">
        <v>3</v>
      </c>
      <c r="K58" s="1" t="s">
        <v>447</v>
      </c>
      <c r="L58">
        <v>67</v>
      </c>
      <c r="M58" t="s">
        <v>440</v>
      </c>
    </row>
    <row r="59" spans="1:13" x14ac:dyDescent="0.25">
      <c r="A59" t="s">
        <v>90</v>
      </c>
      <c r="B59" t="s">
        <v>49</v>
      </c>
      <c r="C59" t="s">
        <v>11</v>
      </c>
      <c r="D59" t="s">
        <v>27</v>
      </c>
      <c r="E59" t="s">
        <v>17</v>
      </c>
      <c r="F59" s="1">
        <v>66</v>
      </c>
      <c r="G59" s="1" t="s">
        <v>443</v>
      </c>
      <c r="H59" s="5">
        <v>11548</v>
      </c>
      <c r="I59" t="s">
        <v>444</v>
      </c>
      <c r="J59" s="1">
        <v>15</v>
      </c>
      <c r="K59" s="1" t="s">
        <v>445</v>
      </c>
      <c r="L59">
        <v>84</v>
      </c>
      <c r="M59" t="s">
        <v>440</v>
      </c>
    </row>
    <row r="60" spans="1:13" x14ac:dyDescent="0.25">
      <c r="A60" t="s">
        <v>91</v>
      </c>
      <c r="B60" t="s">
        <v>44</v>
      </c>
      <c r="C60" t="s">
        <v>11</v>
      </c>
      <c r="D60" t="s">
        <v>31</v>
      </c>
      <c r="E60" t="s">
        <v>13</v>
      </c>
      <c r="F60" s="1">
        <v>34</v>
      </c>
      <c r="G60" s="1" t="s">
        <v>437</v>
      </c>
      <c r="H60" s="5">
        <v>7925</v>
      </c>
      <c r="I60" t="s">
        <v>438</v>
      </c>
      <c r="J60" s="1">
        <v>14</v>
      </c>
      <c r="K60" s="1" t="s">
        <v>445</v>
      </c>
      <c r="L60">
        <v>66</v>
      </c>
      <c r="M60" t="s">
        <v>442</v>
      </c>
    </row>
    <row r="61" spans="1:13" x14ac:dyDescent="0.25">
      <c r="A61" t="s">
        <v>92</v>
      </c>
      <c r="B61" t="s">
        <v>15</v>
      </c>
      <c r="C61" t="s">
        <v>11</v>
      </c>
      <c r="D61" t="s">
        <v>16</v>
      </c>
      <c r="E61" t="s">
        <v>17</v>
      </c>
      <c r="F61" s="1">
        <v>41</v>
      </c>
      <c r="G61" s="1" t="s">
        <v>437</v>
      </c>
      <c r="H61" s="5">
        <v>12149</v>
      </c>
      <c r="I61" t="s">
        <v>444</v>
      </c>
      <c r="J61" s="1">
        <v>14</v>
      </c>
      <c r="K61" s="1" t="s">
        <v>445</v>
      </c>
      <c r="L61">
        <v>82</v>
      </c>
      <c r="M61" t="s">
        <v>440</v>
      </c>
    </row>
    <row r="62" spans="1:13" x14ac:dyDescent="0.25">
      <c r="A62" t="s">
        <v>93</v>
      </c>
      <c r="B62" t="s">
        <v>15</v>
      </c>
      <c r="C62" t="s">
        <v>23</v>
      </c>
      <c r="D62" t="s">
        <v>16</v>
      </c>
      <c r="E62" t="s">
        <v>17</v>
      </c>
      <c r="F62" s="1">
        <v>6</v>
      </c>
      <c r="G62" s="1" t="s">
        <v>448</v>
      </c>
      <c r="H62" s="5">
        <v>1651</v>
      </c>
      <c r="I62" t="s">
        <v>438</v>
      </c>
      <c r="J62" s="1">
        <v>2</v>
      </c>
      <c r="K62" s="1" t="s">
        <v>446</v>
      </c>
      <c r="L62">
        <v>50</v>
      </c>
      <c r="M62" t="s">
        <v>442</v>
      </c>
    </row>
    <row r="63" spans="1:13" x14ac:dyDescent="0.25">
      <c r="A63" t="s">
        <v>94</v>
      </c>
      <c r="B63" t="s">
        <v>19</v>
      </c>
      <c r="C63" t="s">
        <v>40</v>
      </c>
      <c r="D63" t="s">
        <v>29</v>
      </c>
      <c r="E63" t="s">
        <v>17</v>
      </c>
      <c r="F63" s="1">
        <v>86</v>
      </c>
      <c r="G63" s="1" t="s">
        <v>443</v>
      </c>
      <c r="H63" s="5">
        <v>3204</v>
      </c>
      <c r="I63" t="s">
        <v>438</v>
      </c>
      <c r="J63" s="1">
        <v>5</v>
      </c>
      <c r="K63" s="1" t="s">
        <v>447</v>
      </c>
      <c r="L63">
        <v>70</v>
      </c>
      <c r="M63" t="s">
        <v>440</v>
      </c>
    </row>
    <row r="64" spans="1:13" x14ac:dyDescent="0.25">
      <c r="A64" t="s">
        <v>95</v>
      </c>
      <c r="B64" t="s">
        <v>10</v>
      </c>
      <c r="C64" t="s">
        <v>11</v>
      </c>
      <c r="D64" t="s">
        <v>27</v>
      </c>
      <c r="E64" t="s">
        <v>13</v>
      </c>
      <c r="F64" s="1">
        <v>86</v>
      </c>
      <c r="G64" s="1" t="s">
        <v>443</v>
      </c>
      <c r="H64" s="5">
        <v>11691</v>
      </c>
      <c r="I64" t="s">
        <v>444</v>
      </c>
      <c r="J64" s="1">
        <v>10</v>
      </c>
      <c r="K64" s="1" t="s">
        <v>439</v>
      </c>
      <c r="L64">
        <v>75</v>
      </c>
      <c r="M64" t="s">
        <v>440</v>
      </c>
    </row>
    <row r="65" spans="1:13" x14ac:dyDescent="0.25">
      <c r="A65" t="s">
        <v>96</v>
      </c>
      <c r="B65" t="s">
        <v>10</v>
      </c>
      <c r="C65" t="s">
        <v>26</v>
      </c>
      <c r="D65" t="s">
        <v>20</v>
      </c>
      <c r="E65" t="s">
        <v>17</v>
      </c>
      <c r="F65" s="1">
        <v>54</v>
      </c>
      <c r="G65" s="1" t="s">
        <v>449</v>
      </c>
      <c r="H65" s="5">
        <v>6447</v>
      </c>
      <c r="I65" t="s">
        <v>438</v>
      </c>
      <c r="J65" s="1">
        <v>8</v>
      </c>
      <c r="K65" s="1" t="s">
        <v>439</v>
      </c>
      <c r="L65">
        <v>93</v>
      </c>
      <c r="M65" t="s">
        <v>440</v>
      </c>
    </row>
    <row r="66" spans="1:13" x14ac:dyDescent="0.25">
      <c r="A66" t="s">
        <v>97</v>
      </c>
      <c r="B66" t="s">
        <v>10</v>
      </c>
      <c r="C66" t="s">
        <v>40</v>
      </c>
      <c r="D66" t="s">
        <v>16</v>
      </c>
      <c r="E66" t="s">
        <v>13</v>
      </c>
      <c r="F66" s="1">
        <v>52</v>
      </c>
      <c r="G66" s="1" t="s">
        <v>449</v>
      </c>
      <c r="H66" s="5">
        <v>4988</v>
      </c>
      <c r="I66" t="s">
        <v>438</v>
      </c>
      <c r="J66" s="1">
        <v>1</v>
      </c>
      <c r="K66" s="1" t="s">
        <v>446</v>
      </c>
      <c r="L66">
        <v>69</v>
      </c>
      <c r="M66" t="s">
        <v>440</v>
      </c>
    </row>
    <row r="67" spans="1:13" x14ac:dyDescent="0.25">
      <c r="A67" t="s">
        <v>98</v>
      </c>
      <c r="B67" t="s">
        <v>44</v>
      </c>
      <c r="C67" t="s">
        <v>40</v>
      </c>
      <c r="D67" t="s">
        <v>47</v>
      </c>
      <c r="E67" t="s">
        <v>13</v>
      </c>
      <c r="F67" s="1">
        <v>78</v>
      </c>
      <c r="G67" s="1" t="s">
        <v>443</v>
      </c>
      <c r="H67" s="5">
        <v>3139</v>
      </c>
      <c r="I67" t="s">
        <v>438</v>
      </c>
      <c r="J67" s="1">
        <v>4</v>
      </c>
      <c r="K67" s="1" t="s">
        <v>447</v>
      </c>
      <c r="L67">
        <v>78</v>
      </c>
      <c r="M67" t="s">
        <v>440</v>
      </c>
    </row>
    <row r="68" spans="1:13" x14ac:dyDescent="0.25">
      <c r="A68" t="s">
        <v>99</v>
      </c>
      <c r="B68" t="s">
        <v>25</v>
      </c>
      <c r="C68" t="s">
        <v>40</v>
      </c>
      <c r="D68" t="s">
        <v>20</v>
      </c>
      <c r="E68" t="s">
        <v>17</v>
      </c>
      <c r="F68" s="1">
        <v>22</v>
      </c>
      <c r="G68" s="1" t="s">
        <v>450</v>
      </c>
      <c r="H68" s="5">
        <v>1194</v>
      </c>
      <c r="I68" t="s">
        <v>438</v>
      </c>
      <c r="J68" s="1">
        <v>3</v>
      </c>
      <c r="K68" s="1" t="s">
        <v>447</v>
      </c>
      <c r="L68">
        <v>82</v>
      </c>
      <c r="M68" t="s">
        <v>440</v>
      </c>
    </row>
    <row r="69" spans="1:13" x14ac:dyDescent="0.25">
      <c r="A69" t="s">
        <v>100</v>
      </c>
      <c r="B69" t="s">
        <v>10</v>
      </c>
      <c r="C69" t="s">
        <v>26</v>
      </c>
      <c r="D69" t="s">
        <v>31</v>
      </c>
      <c r="E69" t="s">
        <v>13</v>
      </c>
      <c r="F69" s="1">
        <v>31</v>
      </c>
      <c r="G69" s="1" t="s">
        <v>437</v>
      </c>
      <c r="H69" s="5">
        <v>6511</v>
      </c>
      <c r="I69" t="s">
        <v>438</v>
      </c>
      <c r="J69" s="1">
        <v>6</v>
      </c>
      <c r="K69" s="1" t="s">
        <v>439</v>
      </c>
      <c r="L69">
        <v>64</v>
      </c>
      <c r="M69" t="s">
        <v>442</v>
      </c>
    </row>
    <row r="70" spans="1:13" x14ac:dyDescent="0.25">
      <c r="A70" t="s">
        <v>101</v>
      </c>
      <c r="B70" t="s">
        <v>49</v>
      </c>
      <c r="C70" t="s">
        <v>40</v>
      </c>
      <c r="D70" t="s">
        <v>42</v>
      </c>
      <c r="E70" t="s">
        <v>17</v>
      </c>
      <c r="F70" s="1">
        <v>32</v>
      </c>
      <c r="G70" s="1" t="s">
        <v>437</v>
      </c>
      <c r="H70" s="5">
        <v>4392</v>
      </c>
      <c r="I70" t="s">
        <v>438</v>
      </c>
      <c r="J70" s="1">
        <v>5</v>
      </c>
      <c r="K70" s="1" t="s">
        <v>447</v>
      </c>
      <c r="L70">
        <v>99</v>
      </c>
      <c r="M70" t="s">
        <v>440</v>
      </c>
    </row>
    <row r="71" spans="1:13" x14ac:dyDescent="0.25">
      <c r="A71" t="s">
        <v>102</v>
      </c>
      <c r="B71" t="s">
        <v>15</v>
      </c>
      <c r="C71" t="s">
        <v>23</v>
      </c>
      <c r="D71" t="s">
        <v>47</v>
      </c>
      <c r="E71" t="s">
        <v>13</v>
      </c>
      <c r="F71" s="1">
        <v>74</v>
      </c>
      <c r="G71" s="1" t="s">
        <v>443</v>
      </c>
      <c r="H71" s="5">
        <v>598</v>
      </c>
      <c r="I71" t="s">
        <v>438</v>
      </c>
      <c r="J71" s="1">
        <v>3</v>
      </c>
      <c r="K71" s="1" t="s">
        <v>447</v>
      </c>
      <c r="L71">
        <v>94</v>
      </c>
      <c r="M71" t="s">
        <v>440</v>
      </c>
    </row>
    <row r="72" spans="1:13" x14ac:dyDescent="0.25">
      <c r="A72" t="s">
        <v>103</v>
      </c>
      <c r="B72" t="s">
        <v>25</v>
      </c>
      <c r="C72" t="s">
        <v>23</v>
      </c>
      <c r="D72" t="s">
        <v>47</v>
      </c>
      <c r="E72" t="s">
        <v>17</v>
      </c>
      <c r="F72" s="1">
        <v>84</v>
      </c>
      <c r="G72" s="1" t="s">
        <v>443</v>
      </c>
      <c r="H72" s="5">
        <v>1608</v>
      </c>
      <c r="I72" t="s">
        <v>438</v>
      </c>
      <c r="J72" s="1">
        <v>1</v>
      </c>
      <c r="K72" s="1" t="s">
        <v>446</v>
      </c>
      <c r="L72">
        <v>98</v>
      </c>
      <c r="M72" t="s">
        <v>440</v>
      </c>
    </row>
    <row r="73" spans="1:13" x14ac:dyDescent="0.25">
      <c r="A73" t="s">
        <v>104</v>
      </c>
      <c r="B73" t="s">
        <v>49</v>
      </c>
      <c r="C73" t="s">
        <v>11</v>
      </c>
      <c r="D73" t="s">
        <v>47</v>
      </c>
      <c r="E73" t="s">
        <v>17</v>
      </c>
      <c r="F73" s="1">
        <v>90</v>
      </c>
      <c r="G73" s="1" t="s">
        <v>443</v>
      </c>
      <c r="H73" s="5">
        <v>13486</v>
      </c>
      <c r="I73" t="s">
        <v>444</v>
      </c>
      <c r="J73" s="1">
        <v>12</v>
      </c>
      <c r="K73" s="1" t="s">
        <v>445</v>
      </c>
      <c r="L73">
        <v>53</v>
      </c>
      <c r="M73" t="s">
        <v>442</v>
      </c>
    </row>
    <row r="74" spans="1:13" x14ac:dyDescent="0.25">
      <c r="A74" t="s">
        <v>105</v>
      </c>
      <c r="B74" t="s">
        <v>19</v>
      </c>
      <c r="C74" t="s">
        <v>40</v>
      </c>
      <c r="D74" t="s">
        <v>31</v>
      </c>
      <c r="E74" t="s">
        <v>17</v>
      </c>
      <c r="F74" s="1">
        <v>60</v>
      </c>
      <c r="G74" s="1" t="s">
        <v>449</v>
      </c>
      <c r="H74" s="5">
        <v>4851</v>
      </c>
      <c r="I74" t="s">
        <v>438</v>
      </c>
      <c r="J74" s="1">
        <v>5</v>
      </c>
      <c r="K74" s="1" t="s">
        <v>447</v>
      </c>
      <c r="L74">
        <v>88</v>
      </c>
      <c r="M74" t="s">
        <v>440</v>
      </c>
    </row>
    <row r="75" spans="1:13" x14ac:dyDescent="0.25">
      <c r="A75" t="s">
        <v>106</v>
      </c>
      <c r="B75" t="s">
        <v>44</v>
      </c>
      <c r="C75" t="s">
        <v>23</v>
      </c>
      <c r="D75" t="s">
        <v>16</v>
      </c>
      <c r="E75" t="s">
        <v>13</v>
      </c>
      <c r="F75" s="1">
        <v>65</v>
      </c>
      <c r="G75" s="1" t="s">
        <v>443</v>
      </c>
      <c r="H75" s="5">
        <v>1073</v>
      </c>
      <c r="I75" t="s">
        <v>438</v>
      </c>
      <c r="J75" s="1">
        <v>3</v>
      </c>
      <c r="K75" s="1" t="s">
        <v>447</v>
      </c>
      <c r="L75">
        <v>78</v>
      </c>
      <c r="M75" t="s">
        <v>440</v>
      </c>
    </row>
    <row r="76" spans="1:13" x14ac:dyDescent="0.25">
      <c r="A76" t="s">
        <v>107</v>
      </c>
      <c r="B76" t="s">
        <v>22</v>
      </c>
      <c r="C76" t="s">
        <v>23</v>
      </c>
      <c r="D76" t="s">
        <v>34</v>
      </c>
      <c r="E76" t="s">
        <v>17</v>
      </c>
      <c r="F76" s="1">
        <v>32</v>
      </c>
      <c r="G76" s="1" t="s">
        <v>437</v>
      </c>
      <c r="H76" s="5">
        <v>1920</v>
      </c>
      <c r="I76" t="s">
        <v>438</v>
      </c>
      <c r="J76" s="1">
        <v>3</v>
      </c>
      <c r="K76" s="1" t="s">
        <v>447</v>
      </c>
      <c r="L76">
        <v>67</v>
      </c>
      <c r="M76" t="s">
        <v>440</v>
      </c>
    </row>
    <row r="77" spans="1:13" x14ac:dyDescent="0.25">
      <c r="A77" t="s">
        <v>108</v>
      </c>
      <c r="B77" t="s">
        <v>49</v>
      </c>
      <c r="C77" t="s">
        <v>23</v>
      </c>
      <c r="D77" t="s">
        <v>60</v>
      </c>
      <c r="E77" t="s">
        <v>17</v>
      </c>
      <c r="F77" s="1">
        <v>10</v>
      </c>
      <c r="G77" s="1" t="s">
        <v>448</v>
      </c>
      <c r="H77" s="5">
        <v>1661</v>
      </c>
      <c r="I77" t="s">
        <v>438</v>
      </c>
      <c r="J77" s="1">
        <v>2</v>
      </c>
      <c r="K77" s="1" t="s">
        <v>446</v>
      </c>
      <c r="L77">
        <v>65</v>
      </c>
      <c r="M77" t="s">
        <v>442</v>
      </c>
    </row>
    <row r="78" spans="1:13" x14ac:dyDescent="0.25">
      <c r="A78" t="s">
        <v>109</v>
      </c>
      <c r="B78" t="s">
        <v>44</v>
      </c>
      <c r="C78" t="s">
        <v>26</v>
      </c>
      <c r="D78" t="s">
        <v>29</v>
      </c>
      <c r="E78" t="s">
        <v>13</v>
      </c>
      <c r="F78" s="1">
        <v>11</v>
      </c>
      <c r="G78" s="1" t="s">
        <v>448</v>
      </c>
      <c r="H78" s="5">
        <v>2133</v>
      </c>
      <c r="I78" t="s">
        <v>438</v>
      </c>
      <c r="J78" s="1">
        <v>4</v>
      </c>
      <c r="K78" s="1" t="s">
        <v>447</v>
      </c>
      <c r="L78">
        <v>64</v>
      </c>
      <c r="M78" t="s">
        <v>442</v>
      </c>
    </row>
    <row r="79" spans="1:13" x14ac:dyDescent="0.25">
      <c r="A79" t="s">
        <v>110</v>
      </c>
      <c r="B79" t="s">
        <v>25</v>
      </c>
      <c r="C79" t="s">
        <v>40</v>
      </c>
      <c r="D79" t="s">
        <v>60</v>
      </c>
      <c r="E79" t="s">
        <v>17</v>
      </c>
      <c r="F79" s="1">
        <v>53</v>
      </c>
      <c r="G79" s="1" t="s">
        <v>449</v>
      </c>
      <c r="H79" s="5">
        <v>3210</v>
      </c>
      <c r="I79" t="s">
        <v>438</v>
      </c>
      <c r="J79" s="1">
        <v>5</v>
      </c>
      <c r="K79" s="1" t="s">
        <v>447</v>
      </c>
      <c r="L79">
        <v>79</v>
      </c>
      <c r="M79" t="s">
        <v>440</v>
      </c>
    </row>
    <row r="80" spans="1:13" x14ac:dyDescent="0.25">
      <c r="A80" t="s">
        <v>111</v>
      </c>
      <c r="B80" t="s">
        <v>25</v>
      </c>
      <c r="C80" t="s">
        <v>11</v>
      </c>
      <c r="D80" t="s">
        <v>60</v>
      </c>
      <c r="E80" t="s">
        <v>13</v>
      </c>
      <c r="F80" s="1">
        <v>50</v>
      </c>
      <c r="G80" s="1" t="s">
        <v>449</v>
      </c>
      <c r="H80" s="5">
        <v>19824</v>
      </c>
      <c r="I80" t="s">
        <v>444</v>
      </c>
      <c r="J80" s="1">
        <v>14</v>
      </c>
      <c r="K80" s="1" t="s">
        <v>445</v>
      </c>
      <c r="L80">
        <v>94</v>
      </c>
      <c r="M80" t="s">
        <v>440</v>
      </c>
    </row>
    <row r="81" spans="1:13" x14ac:dyDescent="0.25">
      <c r="A81" t="s">
        <v>112</v>
      </c>
      <c r="B81" t="s">
        <v>15</v>
      </c>
      <c r="C81" t="s">
        <v>23</v>
      </c>
      <c r="D81" t="s">
        <v>34</v>
      </c>
      <c r="E81" t="s">
        <v>17</v>
      </c>
      <c r="F81" s="1">
        <v>46</v>
      </c>
      <c r="G81" s="1" t="s">
        <v>449</v>
      </c>
      <c r="H81" s="5">
        <v>811</v>
      </c>
      <c r="I81" t="s">
        <v>438</v>
      </c>
      <c r="J81" s="1">
        <v>2</v>
      </c>
      <c r="K81" s="1" t="s">
        <v>446</v>
      </c>
      <c r="L81">
        <v>76</v>
      </c>
      <c r="M81" t="s">
        <v>440</v>
      </c>
    </row>
    <row r="82" spans="1:13" x14ac:dyDescent="0.25">
      <c r="A82" t="s">
        <v>113</v>
      </c>
      <c r="B82" t="s">
        <v>19</v>
      </c>
      <c r="C82" t="s">
        <v>40</v>
      </c>
      <c r="D82" t="s">
        <v>34</v>
      </c>
      <c r="E82" t="s">
        <v>17</v>
      </c>
      <c r="F82" s="1">
        <v>56</v>
      </c>
      <c r="G82" s="1" t="s">
        <v>449</v>
      </c>
      <c r="H82" s="5">
        <v>4478</v>
      </c>
      <c r="I82" t="s">
        <v>438</v>
      </c>
      <c r="J82" s="1">
        <v>1</v>
      </c>
      <c r="K82" s="1" t="s">
        <v>446</v>
      </c>
      <c r="L82">
        <v>74</v>
      </c>
      <c r="M82" t="s">
        <v>440</v>
      </c>
    </row>
    <row r="83" spans="1:13" x14ac:dyDescent="0.25">
      <c r="A83" t="s">
        <v>114</v>
      </c>
      <c r="B83" t="s">
        <v>44</v>
      </c>
      <c r="C83" t="s">
        <v>23</v>
      </c>
      <c r="D83" t="s">
        <v>42</v>
      </c>
      <c r="E83" t="s">
        <v>13</v>
      </c>
      <c r="F83" s="1">
        <v>17</v>
      </c>
      <c r="G83" s="1" t="s">
        <v>451</v>
      </c>
      <c r="H83" s="5">
        <v>1474</v>
      </c>
      <c r="I83" t="s">
        <v>438</v>
      </c>
      <c r="J83" s="1">
        <v>3</v>
      </c>
      <c r="K83" s="1" t="s">
        <v>447</v>
      </c>
      <c r="L83">
        <v>51</v>
      </c>
      <c r="M83" t="s">
        <v>442</v>
      </c>
    </row>
    <row r="84" spans="1:13" x14ac:dyDescent="0.25">
      <c r="A84" t="s">
        <v>115</v>
      </c>
      <c r="B84" t="s">
        <v>25</v>
      </c>
      <c r="C84" t="s">
        <v>11</v>
      </c>
      <c r="D84" t="s">
        <v>31</v>
      </c>
      <c r="E84" t="s">
        <v>13</v>
      </c>
      <c r="F84" s="1">
        <v>18</v>
      </c>
      <c r="G84" s="1" t="s">
        <v>451</v>
      </c>
      <c r="H84" s="5">
        <v>19202</v>
      </c>
      <c r="I84" t="s">
        <v>444</v>
      </c>
      <c r="J84" s="1">
        <v>12</v>
      </c>
      <c r="K84" s="1" t="s">
        <v>445</v>
      </c>
      <c r="L84">
        <v>61</v>
      </c>
      <c r="M84" t="s">
        <v>442</v>
      </c>
    </row>
    <row r="85" spans="1:13" x14ac:dyDescent="0.25">
      <c r="A85" t="s">
        <v>116</v>
      </c>
      <c r="B85" t="s">
        <v>15</v>
      </c>
      <c r="C85" t="s">
        <v>26</v>
      </c>
      <c r="D85" t="s">
        <v>47</v>
      </c>
      <c r="E85" t="s">
        <v>17</v>
      </c>
      <c r="F85" s="1">
        <v>59</v>
      </c>
      <c r="G85" s="1" t="s">
        <v>449</v>
      </c>
      <c r="H85" s="5">
        <v>3677</v>
      </c>
      <c r="I85" t="s">
        <v>438</v>
      </c>
      <c r="J85" s="1">
        <v>7</v>
      </c>
      <c r="K85" s="1" t="s">
        <v>439</v>
      </c>
      <c r="L85">
        <v>98</v>
      </c>
      <c r="M85" t="s">
        <v>440</v>
      </c>
    </row>
    <row r="86" spans="1:13" x14ac:dyDescent="0.25">
      <c r="A86" t="s">
        <v>117</v>
      </c>
      <c r="B86" t="s">
        <v>25</v>
      </c>
      <c r="C86" t="s">
        <v>26</v>
      </c>
      <c r="D86" t="s">
        <v>47</v>
      </c>
      <c r="E86" t="s">
        <v>17</v>
      </c>
      <c r="F86" s="1">
        <v>11</v>
      </c>
      <c r="G86" s="1" t="s">
        <v>448</v>
      </c>
      <c r="H86" s="5">
        <v>4852</v>
      </c>
      <c r="I86" t="s">
        <v>438</v>
      </c>
      <c r="J86" s="1">
        <v>2</v>
      </c>
      <c r="K86" s="1" t="s">
        <v>446</v>
      </c>
      <c r="L86">
        <v>97</v>
      </c>
      <c r="M86" t="s">
        <v>440</v>
      </c>
    </row>
    <row r="87" spans="1:13" x14ac:dyDescent="0.25">
      <c r="A87" t="s">
        <v>118</v>
      </c>
      <c r="B87" t="s">
        <v>19</v>
      </c>
      <c r="C87" t="s">
        <v>11</v>
      </c>
      <c r="D87" t="s">
        <v>29</v>
      </c>
      <c r="E87" t="s">
        <v>17</v>
      </c>
      <c r="F87" s="1">
        <v>9</v>
      </c>
      <c r="G87" s="1" t="s">
        <v>448</v>
      </c>
      <c r="H87" s="5">
        <v>17799</v>
      </c>
      <c r="I87" t="s">
        <v>444</v>
      </c>
      <c r="J87" s="1">
        <v>15</v>
      </c>
      <c r="K87" s="1" t="s">
        <v>445</v>
      </c>
      <c r="L87">
        <v>52</v>
      </c>
      <c r="M87" t="s">
        <v>442</v>
      </c>
    </row>
    <row r="88" spans="1:13" x14ac:dyDescent="0.25">
      <c r="A88" t="s">
        <v>119</v>
      </c>
      <c r="B88" t="s">
        <v>49</v>
      </c>
      <c r="C88" t="s">
        <v>11</v>
      </c>
      <c r="D88" t="s">
        <v>60</v>
      </c>
      <c r="E88" t="s">
        <v>17</v>
      </c>
      <c r="F88" s="1">
        <v>3</v>
      </c>
      <c r="G88" s="1" t="s">
        <v>441</v>
      </c>
      <c r="H88" s="5">
        <v>15179</v>
      </c>
      <c r="I88" t="s">
        <v>444</v>
      </c>
      <c r="J88" s="1">
        <v>7</v>
      </c>
      <c r="K88" s="1" t="s">
        <v>439</v>
      </c>
      <c r="L88">
        <v>65</v>
      </c>
      <c r="M88" t="s">
        <v>442</v>
      </c>
    </row>
    <row r="89" spans="1:13" x14ac:dyDescent="0.25">
      <c r="A89" t="s">
        <v>120</v>
      </c>
      <c r="B89" t="s">
        <v>22</v>
      </c>
      <c r="C89" t="s">
        <v>23</v>
      </c>
      <c r="D89" t="s">
        <v>31</v>
      </c>
      <c r="E89" t="s">
        <v>13</v>
      </c>
      <c r="F89" s="1">
        <v>28</v>
      </c>
      <c r="G89" s="1" t="s">
        <v>450</v>
      </c>
      <c r="H89" s="5">
        <v>1152</v>
      </c>
      <c r="I89" t="s">
        <v>438</v>
      </c>
      <c r="J89" s="1">
        <v>3</v>
      </c>
      <c r="K89" s="1" t="s">
        <v>447</v>
      </c>
      <c r="L89">
        <v>66</v>
      </c>
      <c r="M89" t="s">
        <v>442</v>
      </c>
    </row>
    <row r="90" spans="1:13" x14ac:dyDescent="0.25">
      <c r="A90" t="s">
        <v>121</v>
      </c>
      <c r="B90" t="s">
        <v>49</v>
      </c>
      <c r="C90" t="s">
        <v>26</v>
      </c>
      <c r="D90" t="s">
        <v>42</v>
      </c>
      <c r="E90" t="s">
        <v>13</v>
      </c>
      <c r="F90" s="1">
        <v>15</v>
      </c>
      <c r="G90" s="1" t="s">
        <v>451</v>
      </c>
      <c r="H90" s="5">
        <v>2341</v>
      </c>
      <c r="I90" t="s">
        <v>438</v>
      </c>
      <c r="J90" s="1">
        <v>6</v>
      </c>
      <c r="K90" s="1" t="s">
        <v>439</v>
      </c>
      <c r="L90">
        <v>56</v>
      </c>
      <c r="M90" t="s">
        <v>442</v>
      </c>
    </row>
    <row r="91" spans="1:13" x14ac:dyDescent="0.25">
      <c r="A91" t="s">
        <v>122</v>
      </c>
      <c r="B91" t="s">
        <v>19</v>
      </c>
      <c r="C91" t="s">
        <v>11</v>
      </c>
      <c r="D91" t="s">
        <v>27</v>
      </c>
      <c r="E91" t="s">
        <v>13</v>
      </c>
      <c r="F91" s="1">
        <v>49</v>
      </c>
      <c r="G91" s="1" t="s">
        <v>449</v>
      </c>
      <c r="H91" s="5">
        <v>11498</v>
      </c>
      <c r="I91" t="s">
        <v>444</v>
      </c>
      <c r="J91" s="1">
        <v>8</v>
      </c>
      <c r="K91" s="1" t="s">
        <v>439</v>
      </c>
      <c r="L91">
        <v>54</v>
      </c>
      <c r="M91" t="s">
        <v>442</v>
      </c>
    </row>
    <row r="92" spans="1:13" x14ac:dyDescent="0.25">
      <c r="A92" t="s">
        <v>123</v>
      </c>
      <c r="B92" t="s">
        <v>19</v>
      </c>
      <c r="C92" t="s">
        <v>40</v>
      </c>
      <c r="D92" t="s">
        <v>31</v>
      </c>
      <c r="E92" t="s">
        <v>13</v>
      </c>
      <c r="F92" s="1">
        <v>39</v>
      </c>
      <c r="G92" s="1" t="s">
        <v>437</v>
      </c>
      <c r="H92" s="5">
        <v>1491</v>
      </c>
      <c r="I92" t="s">
        <v>438</v>
      </c>
      <c r="J92" s="1">
        <v>5</v>
      </c>
      <c r="K92" s="1" t="s">
        <v>447</v>
      </c>
      <c r="L92">
        <v>100</v>
      </c>
      <c r="M92" t="s">
        <v>440</v>
      </c>
    </row>
    <row r="93" spans="1:13" x14ac:dyDescent="0.25">
      <c r="A93" t="s">
        <v>124</v>
      </c>
      <c r="B93" t="s">
        <v>15</v>
      </c>
      <c r="C93" t="s">
        <v>26</v>
      </c>
      <c r="D93" t="s">
        <v>20</v>
      </c>
      <c r="E93" t="s">
        <v>17</v>
      </c>
      <c r="F93" s="1">
        <v>48</v>
      </c>
      <c r="G93" s="1" t="s">
        <v>449</v>
      </c>
      <c r="H93" s="5">
        <v>1564</v>
      </c>
      <c r="I93" t="s">
        <v>438</v>
      </c>
      <c r="J93" s="1">
        <v>10</v>
      </c>
      <c r="K93" s="1" t="s">
        <v>439</v>
      </c>
      <c r="L93">
        <v>91</v>
      </c>
      <c r="M93" t="s">
        <v>440</v>
      </c>
    </row>
    <row r="94" spans="1:13" x14ac:dyDescent="0.25">
      <c r="A94" t="s">
        <v>125</v>
      </c>
      <c r="B94" t="s">
        <v>44</v>
      </c>
      <c r="C94" t="s">
        <v>11</v>
      </c>
      <c r="D94" t="s">
        <v>47</v>
      </c>
      <c r="E94" t="s">
        <v>13</v>
      </c>
      <c r="F94" s="1">
        <v>14</v>
      </c>
      <c r="G94" s="1" t="s">
        <v>451</v>
      </c>
      <c r="H94" s="5">
        <v>12102</v>
      </c>
      <c r="I94" t="s">
        <v>444</v>
      </c>
      <c r="J94" s="1">
        <v>10</v>
      </c>
      <c r="K94" s="1" t="s">
        <v>439</v>
      </c>
      <c r="L94">
        <v>90</v>
      </c>
      <c r="M94" t="s">
        <v>440</v>
      </c>
    </row>
    <row r="95" spans="1:13" x14ac:dyDescent="0.25">
      <c r="A95" t="s">
        <v>126</v>
      </c>
      <c r="B95" t="s">
        <v>49</v>
      </c>
      <c r="C95" t="s">
        <v>23</v>
      </c>
      <c r="D95" t="s">
        <v>42</v>
      </c>
      <c r="E95" t="s">
        <v>17</v>
      </c>
      <c r="F95" s="1">
        <v>67</v>
      </c>
      <c r="G95" s="1" t="s">
        <v>443</v>
      </c>
      <c r="H95" s="5">
        <v>1532</v>
      </c>
      <c r="I95" t="s">
        <v>438</v>
      </c>
      <c r="J95" s="1">
        <v>2</v>
      </c>
      <c r="K95" s="1" t="s">
        <v>446</v>
      </c>
      <c r="L95">
        <v>89</v>
      </c>
      <c r="M95" t="s">
        <v>440</v>
      </c>
    </row>
    <row r="96" spans="1:13" x14ac:dyDescent="0.25">
      <c r="A96" t="s">
        <v>127</v>
      </c>
      <c r="B96" t="s">
        <v>49</v>
      </c>
      <c r="C96" t="s">
        <v>23</v>
      </c>
      <c r="D96" t="s">
        <v>34</v>
      </c>
      <c r="E96" t="s">
        <v>17</v>
      </c>
      <c r="F96" s="1">
        <v>76</v>
      </c>
      <c r="G96" s="1" t="s">
        <v>443</v>
      </c>
      <c r="H96" s="5">
        <v>749</v>
      </c>
      <c r="I96" t="s">
        <v>438</v>
      </c>
      <c r="J96" s="1">
        <v>2</v>
      </c>
      <c r="K96" s="1" t="s">
        <v>446</v>
      </c>
      <c r="L96">
        <v>65</v>
      </c>
      <c r="M96" t="s">
        <v>442</v>
      </c>
    </row>
    <row r="97" spans="1:13" x14ac:dyDescent="0.25">
      <c r="A97" t="s">
        <v>128</v>
      </c>
      <c r="B97" t="s">
        <v>49</v>
      </c>
      <c r="C97" t="s">
        <v>11</v>
      </c>
      <c r="D97" t="s">
        <v>27</v>
      </c>
      <c r="E97" t="s">
        <v>13</v>
      </c>
      <c r="F97" s="1">
        <v>32</v>
      </c>
      <c r="G97" s="1" t="s">
        <v>437</v>
      </c>
      <c r="H97" s="5">
        <v>17295</v>
      </c>
      <c r="I97" t="s">
        <v>444</v>
      </c>
      <c r="J97" s="1">
        <v>12</v>
      </c>
      <c r="K97" s="1" t="s">
        <v>445</v>
      </c>
      <c r="L97">
        <v>86</v>
      </c>
      <c r="M97" t="s">
        <v>440</v>
      </c>
    </row>
    <row r="98" spans="1:13" x14ac:dyDescent="0.25">
      <c r="A98" t="s">
        <v>129</v>
      </c>
      <c r="B98" t="s">
        <v>19</v>
      </c>
      <c r="C98" t="s">
        <v>23</v>
      </c>
      <c r="D98" t="s">
        <v>29</v>
      </c>
      <c r="E98" t="s">
        <v>17</v>
      </c>
      <c r="F98" s="1">
        <v>42</v>
      </c>
      <c r="G98" s="1" t="s">
        <v>437</v>
      </c>
      <c r="H98" s="5">
        <v>572</v>
      </c>
      <c r="I98" t="s">
        <v>438</v>
      </c>
      <c r="J98" s="1">
        <v>2</v>
      </c>
      <c r="K98" s="1" t="s">
        <v>446</v>
      </c>
      <c r="L98">
        <v>63</v>
      </c>
      <c r="M98" t="s">
        <v>442</v>
      </c>
    </row>
    <row r="99" spans="1:13" x14ac:dyDescent="0.25">
      <c r="A99" t="s">
        <v>130</v>
      </c>
      <c r="B99" t="s">
        <v>44</v>
      </c>
      <c r="C99" t="s">
        <v>26</v>
      </c>
      <c r="D99" t="s">
        <v>29</v>
      </c>
      <c r="E99" t="s">
        <v>17</v>
      </c>
      <c r="F99" s="1">
        <v>77</v>
      </c>
      <c r="G99" s="1" t="s">
        <v>443</v>
      </c>
      <c r="H99" s="5">
        <v>6744</v>
      </c>
      <c r="I99" t="s">
        <v>438</v>
      </c>
      <c r="J99" s="1">
        <v>6</v>
      </c>
      <c r="K99" s="1" t="s">
        <v>439</v>
      </c>
      <c r="L99">
        <v>85</v>
      </c>
      <c r="M99" t="s">
        <v>440</v>
      </c>
    </row>
    <row r="100" spans="1:13" x14ac:dyDescent="0.25">
      <c r="A100" t="s">
        <v>131</v>
      </c>
      <c r="B100" t="s">
        <v>15</v>
      </c>
      <c r="C100" t="s">
        <v>40</v>
      </c>
      <c r="D100" t="s">
        <v>31</v>
      </c>
      <c r="E100" t="s">
        <v>17</v>
      </c>
      <c r="F100" s="1">
        <v>53</v>
      </c>
      <c r="G100" s="1" t="s">
        <v>449</v>
      </c>
      <c r="H100" s="5">
        <v>4502</v>
      </c>
      <c r="I100" t="s">
        <v>438</v>
      </c>
      <c r="J100" s="1">
        <v>5</v>
      </c>
      <c r="K100" s="1" t="s">
        <v>447</v>
      </c>
      <c r="L100">
        <v>98</v>
      </c>
      <c r="M100" t="s">
        <v>440</v>
      </c>
    </row>
    <row r="101" spans="1:13" x14ac:dyDescent="0.25">
      <c r="A101" t="s">
        <v>132</v>
      </c>
      <c r="B101" t="s">
        <v>22</v>
      </c>
      <c r="C101" t="s">
        <v>23</v>
      </c>
      <c r="D101" t="s">
        <v>34</v>
      </c>
      <c r="E101" t="s">
        <v>17</v>
      </c>
      <c r="F101" s="1">
        <v>3</v>
      </c>
      <c r="G101" s="1" t="s">
        <v>441</v>
      </c>
      <c r="H101" s="5">
        <v>390</v>
      </c>
      <c r="I101" t="s">
        <v>438</v>
      </c>
      <c r="J101" s="1">
        <v>2</v>
      </c>
      <c r="K101" s="1" t="s">
        <v>446</v>
      </c>
      <c r="L101">
        <v>64</v>
      </c>
      <c r="M101" t="s">
        <v>442</v>
      </c>
    </row>
    <row r="102" spans="1:13" x14ac:dyDescent="0.25">
      <c r="A102" t="s">
        <v>133</v>
      </c>
      <c r="B102" t="s">
        <v>25</v>
      </c>
      <c r="C102" t="s">
        <v>40</v>
      </c>
      <c r="D102" t="s">
        <v>27</v>
      </c>
      <c r="E102" t="s">
        <v>13</v>
      </c>
      <c r="F102" s="1">
        <v>48</v>
      </c>
      <c r="G102" s="1" t="s">
        <v>449</v>
      </c>
      <c r="H102" s="5">
        <v>4376</v>
      </c>
      <c r="I102" t="s">
        <v>438</v>
      </c>
      <c r="J102" s="1">
        <v>5</v>
      </c>
      <c r="K102" s="1" t="s">
        <v>447</v>
      </c>
      <c r="L102">
        <v>83</v>
      </c>
      <c r="M102" t="s">
        <v>440</v>
      </c>
    </row>
    <row r="103" spans="1:13" x14ac:dyDescent="0.25">
      <c r="A103" t="s">
        <v>134</v>
      </c>
      <c r="B103" t="s">
        <v>44</v>
      </c>
      <c r="C103" t="s">
        <v>23</v>
      </c>
      <c r="D103" t="s">
        <v>20</v>
      </c>
      <c r="E103" t="s">
        <v>17</v>
      </c>
      <c r="F103" s="1">
        <v>90</v>
      </c>
      <c r="G103" s="1" t="s">
        <v>443</v>
      </c>
      <c r="H103" s="5">
        <v>1129</v>
      </c>
      <c r="I103" t="s">
        <v>438</v>
      </c>
      <c r="J103" s="1">
        <v>2</v>
      </c>
      <c r="K103" s="1" t="s">
        <v>446</v>
      </c>
      <c r="L103">
        <v>69</v>
      </c>
      <c r="M103" t="s">
        <v>440</v>
      </c>
    </row>
    <row r="104" spans="1:13" x14ac:dyDescent="0.25">
      <c r="A104" t="s">
        <v>135</v>
      </c>
      <c r="B104" t="s">
        <v>44</v>
      </c>
      <c r="C104" t="s">
        <v>40</v>
      </c>
      <c r="D104" t="s">
        <v>31</v>
      </c>
      <c r="E104" t="s">
        <v>13</v>
      </c>
      <c r="F104" s="1">
        <v>41</v>
      </c>
      <c r="G104" s="1" t="s">
        <v>437</v>
      </c>
      <c r="H104" s="5">
        <v>1479</v>
      </c>
      <c r="I104" t="s">
        <v>438</v>
      </c>
      <c r="J104" s="1">
        <v>5</v>
      </c>
      <c r="K104" s="1" t="s">
        <v>447</v>
      </c>
      <c r="L104">
        <v>98</v>
      </c>
      <c r="M104" t="s">
        <v>440</v>
      </c>
    </row>
    <row r="105" spans="1:13" x14ac:dyDescent="0.25">
      <c r="A105" t="s">
        <v>136</v>
      </c>
      <c r="B105" t="s">
        <v>10</v>
      </c>
      <c r="C105" t="s">
        <v>40</v>
      </c>
      <c r="D105" t="s">
        <v>60</v>
      </c>
      <c r="E105" t="s">
        <v>17</v>
      </c>
      <c r="F105" s="1">
        <v>62</v>
      </c>
      <c r="G105" s="1" t="s">
        <v>443</v>
      </c>
      <c r="H105" s="5">
        <v>2765</v>
      </c>
      <c r="I105" t="s">
        <v>438</v>
      </c>
      <c r="J105" s="1">
        <v>5</v>
      </c>
      <c r="K105" s="1" t="s">
        <v>447</v>
      </c>
      <c r="L105">
        <v>98</v>
      </c>
      <c r="M105" t="s">
        <v>440</v>
      </c>
    </row>
    <row r="106" spans="1:13" x14ac:dyDescent="0.25">
      <c r="A106" t="s">
        <v>137</v>
      </c>
      <c r="B106" t="s">
        <v>19</v>
      </c>
      <c r="C106" t="s">
        <v>26</v>
      </c>
      <c r="D106" t="s">
        <v>31</v>
      </c>
      <c r="E106" t="s">
        <v>13</v>
      </c>
      <c r="F106" s="1">
        <v>38</v>
      </c>
      <c r="G106" s="1" t="s">
        <v>437</v>
      </c>
      <c r="H106" s="5">
        <v>2863</v>
      </c>
      <c r="I106" t="s">
        <v>438</v>
      </c>
      <c r="J106" s="1">
        <v>7</v>
      </c>
      <c r="K106" s="1" t="s">
        <v>439</v>
      </c>
      <c r="L106">
        <v>61</v>
      </c>
      <c r="M106" t="s">
        <v>442</v>
      </c>
    </row>
    <row r="107" spans="1:13" x14ac:dyDescent="0.25">
      <c r="A107" t="s">
        <v>138</v>
      </c>
      <c r="B107" t="s">
        <v>44</v>
      </c>
      <c r="C107" t="s">
        <v>11</v>
      </c>
      <c r="D107" t="s">
        <v>20</v>
      </c>
      <c r="E107" t="s">
        <v>17</v>
      </c>
      <c r="F107" s="1">
        <v>6</v>
      </c>
      <c r="G107" s="1" t="s">
        <v>448</v>
      </c>
      <c r="H107" s="5">
        <v>5893</v>
      </c>
      <c r="I107" t="s">
        <v>438</v>
      </c>
      <c r="J107" s="1">
        <v>13</v>
      </c>
      <c r="K107" s="1" t="s">
        <v>445</v>
      </c>
      <c r="L107">
        <v>68</v>
      </c>
      <c r="M107" t="s">
        <v>440</v>
      </c>
    </row>
    <row r="108" spans="1:13" x14ac:dyDescent="0.25">
      <c r="A108" t="s">
        <v>139</v>
      </c>
      <c r="B108" t="s">
        <v>10</v>
      </c>
      <c r="C108" t="s">
        <v>40</v>
      </c>
      <c r="D108" t="s">
        <v>34</v>
      </c>
      <c r="E108" t="s">
        <v>17</v>
      </c>
      <c r="F108" s="1">
        <v>2</v>
      </c>
      <c r="G108" s="1" t="s">
        <v>441</v>
      </c>
      <c r="H108" s="5">
        <v>2829</v>
      </c>
      <c r="I108" t="s">
        <v>438</v>
      </c>
      <c r="J108" s="1">
        <v>4</v>
      </c>
      <c r="K108" s="1" t="s">
        <v>447</v>
      </c>
      <c r="L108">
        <v>80</v>
      </c>
      <c r="M108" t="s">
        <v>440</v>
      </c>
    </row>
    <row r="109" spans="1:13" x14ac:dyDescent="0.25">
      <c r="A109" t="s">
        <v>140</v>
      </c>
      <c r="B109" t="s">
        <v>25</v>
      </c>
      <c r="C109" t="s">
        <v>26</v>
      </c>
      <c r="D109" t="s">
        <v>42</v>
      </c>
      <c r="E109" t="s">
        <v>13</v>
      </c>
      <c r="F109" s="1">
        <v>33</v>
      </c>
      <c r="G109" s="1" t="s">
        <v>437</v>
      </c>
      <c r="H109" s="5">
        <v>4913</v>
      </c>
      <c r="I109" t="s">
        <v>438</v>
      </c>
      <c r="J109" s="1">
        <v>3</v>
      </c>
      <c r="K109" s="1" t="s">
        <v>447</v>
      </c>
      <c r="L109">
        <v>54</v>
      </c>
      <c r="M109" t="s">
        <v>442</v>
      </c>
    </row>
    <row r="110" spans="1:13" x14ac:dyDescent="0.25">
      <c r="A110" t="s">
        <v>141</v>
      </c>
      <c r="B110" t="s">
        <v>25</v>
      </c>
      <c r="C110" t="s">
        <v>23</v>
      </c>
      <c r="D110" t="s">
        <v>31</v>
      </c>
      <c r="E110" t="s">
        <v>13</v>
      </c>
      <c r="F110" s="1">
        <v>88</v>
      </c>
      <c r="G110" s="1" t="s">
        <v>443</v>
      </c>
      <c r="H110" s="5">
        <v>309</v>
      </c>
      <c r="I110" t="s">
        <v>438</v>
      </c>
      <c r="J110" s="1">
        <v>1</v>
      </c>
      <c r="K110" s="1" t="s">
        <v>446</v>
      </c>
      <c r="L110">
        <v>59</v>
      </c>
      <c r="M110" t="s">
        <v>442</v>
      </c>
    </row>
    <row r="111" spans="1:13" x14ac:dyDescent="0.25">
      <c r="A111" t="s">
        <v>142</v>
      </c>
      <c r="B111" t="s">
        <v>49</v>
      </c>
      <c r="C111" t="s">
        <v>26</v>
      </c>
      <c r="D111" t="s">
        <v>31</v>
      </c>
      <c r="E111" t="s">
        <v>37</v>
      </c>
      <c r="F111" s="1">
        <v>16</v>
      </c>
      <c r="G111" s="1" t="s">
        <v>451</v>
      </c>
      <c r="H111" s="5">
        <v>5571</v>
      </c>
      <c r="I111" t="s">
        <v>438</v>
      </c>
      <c r="J111" s="1">
        <v>8</v>
      </c>
      <c r="K111" s="1" t="s">
        <v>439</v>
      </c>
      <c r="L111">
        <v>88</v>
      </c>
      <c r="M111" t="s">
        <v>440</v>
      </c>
    </row>
    <row r="112" spans="1:13" x14ac:dyDescent="0.25">
      <c r="A112" t="s">
        <v>143</v>
      </c>
      <c r="B112" t="s">
        <v>19</v>
      </c>
      <c r="C112" t="s">
        <v>40</v>
      </c>
      <c r="D112" t="s">
        <v>20</v>
      </c>
      <c r="E112" t="s">
        <v>17</v>
      </c>
      <c r="F112" s="1">
        <v>57</v>
      </c>
      <c r="G112" s="1" t="s">
        <v>449</v>
      </c>
      <c r="H112" s="5">
        <v>2935</v>
      </c>
      <c r="I112" t="s">
        <v>438</v>
      </c>
      <c r="J112" s="1">
        <v>5</v>
      </c>
      <c r="K112" s="1" t="s">
        <v>447</v>
      </c>
      <c r="L112">
        <v>77</v>
      </c>
      <c r="M112" t="s">
        <v>440</v>
      </c>
    </row>
    <row r="113" spans="1:13" x14ac:dyDescent="0.25">
      <c r="A113" t="s">
        <v>144</v>
      </c>
      <c r="B113" t="s">
        <v>44</v>
      </c>
      <c r="C113" t="s">
        <v>11</v>
      </c>
      <c r="D113" t="s">
        <v>16</v>
      </c>
      <c r="E113" t="s">
        <v>13</v>
      </c>
      <c r="F113" s="1">
        <v>13</v>
      </c>
      <c r="G113" s="1" t="s">
        <v>451</v>
      </c>
      <c r="H113" s="5">
        <v>17496</v>
      </c>
      <c r="I113" t="s">
        <v>444</v>
      </c>
      <c r="J113" s="1">
        <v>8</v>
      </c>
      <c r="K113" s="1" t="s">
        <v>439</v>
      </c>
      <c r="L113">
        <v>90</v>
      </c>
      <c r="M113" t="s">
        <v>440</v>
      </c>
    </row>
    <row r="114" spans="1:13" x14ac:dyDescent="0.25">
      <c r="A114" t="s">
        <v>145</v>
      </c>
      <c r="B114" t="s">
        <v>22</v>
      </c>
      <c r="C114" t="s">
        <v>26</v>
      </c>
      <c r="D114" t="s">
        <v>31</v>
      </c>
      <c r="E114" t="s">
        <v>17</v>
      </c>
      <c r="F114" s="1">
        <v>23</v>
      </c>
      <c r="G114" s="1" t="s">
        <v>450</v>
      </c>
      <c r="H114" s="5">
        <v>5521</v>
      </c>
      <c r="I114" t="s">
        <v>438</v>
      </c>
      <c r="J114" s="1">
        <v>3</v>
      </c>
      <c r="K114" s="1" t="s">
        <v>447</v>
      </c>
      <c r="L114">
        <v>60</v>
      </c>
      <c r="M114" t="s">
        <v>442</v>
      </c>
    </row>
    <row r="115" spans="1:13" x14ac:dyDescent="0.25">
      <c r="A115" t="s">
        <v>146</v>
      </c>
      <c r="B115" t="s">
        <v>15</v>
      </c>
      <c r="C115" t="s">
        <v>23</v>
      </c>
      <c r="D115" t="s">
        <v>34</v>
      </c>
      <c r="E115" t="s">
        <v>13</v>
      </c>
      <c r="F115" s="1">
        <v>61</v>
      </c>
      <c r="G115" s="1" t="s">
        <v>443</v>
      </c>
      <c r="H115" s="5">
        <v>796</v>
      </c>
      <c r="I115" t="s">
        <v>438</v>
      </c>
      <c r="J115" s="1">
        <v>1</v>
      </c>
      <c r="K115" s="1" t="s">
        <v>446</v>
      </c>
      <c r="L115">
        <v>64</v>
      </c>
      <c r="M115" t="s">
        <v>442</v>
      </c>
    </row>
    <row r="116" spans="1:13" x14ac:dyDescent="0.25">
      <c r="A116" t="s">
        <v>147</v>
      </c>
      <c r="B116" t="s">
        <v>44</v>
      </c>
      <c r="C116" t="s">
        <v>26</v>
      </c>
      <c r="D116" t="s">
        <v>34</v>
      </c>
      <c r="E116" t="s">
        <v>17</v>
      </c>
      <c r="F116" s="1">
        <v>30</v>
      </c>
      <c r="G116" s="1" t="s">
        <v>437</v>
      </c>
      <c r="H116" s="5">
        <v>3167</v>
      </c>
      <c r="I116" t="s">
        <v>438</v>
      </c>
      <c r="J116" s="1">
        <v>5</v>
      </c>
      <c r="K116" s="1" t="s">
        <v>447</v>
      </c>
      <c r="L116">
        <v>77</v>
      </c>
      <c r="M116" t="s">
        <v>440</v>
      </c>
    </row>
    <row r="117" spans="1:13" x14ac:dyDescent="0.25">
      <c r="A117" t="s">
        <v>148</v>
      </c>
      <c r="B117" t="s">
        <v>15</v>
      </c>
      <c r="C117" t="s">
        <v>40</v>
      </c>
      <c r="D117" t="s">
        <v>42</v>
      </c>
      <c r="E117" t="s">
        <v>13</v>
      </c>
      <c r="F117" s="1">
        <v>19</v>
      </c>
      <c r="G117" s="1" t="s">
        <v>451</v>
      </c>
      <c r="H117" s="5">
        <v>1084</v>
      </c>
      <c r="I117" t="s">
        <v>438</v>
      </c>
      <c r="J117" s="1">
        <v>1</v>
      </c>
      <c r="K117" s="1" t="s">
        <v>446</v>
      </c>
      <c r="L117">
        <v>60</v>
      </c>
      <c r="M117" t="s">
        <v>442</v>
      </c>
    </row>
    <row r="118" spans="1:13" x14ac:dyDescent="0.25">
      <c r="A118" t="s">
        <v>149</v>
      </c>
      <c r="B118" t="s">
        <v>49</v>
      </c>
      <c r="C118" t="s">
        <v>26</v>
      </c>
      <c r="D118" t="s">
        <v>16</v>
      </c>
      <c r="E118" t="s">
        <v>13</v>
      </c>
      <c r="F118" s="1">
        <v>73</v>
      </c>
      <c r="G118" s="1" t="s">
        <v>443</v>
      </c>
      <c r="H118" s="5">
        <v>3364</v>
      </c>
      <c r="I118" t="s">
        <v>438</v>
      </c>
      <c r="J118" s="1">
        <v>9</v>
      </c>
      <c r="K118" s="1" t="s">
        <v>439</v>
      </c>
      <c r="L118">
        <v>57</v>
      </c>
      <c r="M118" t="s">
        <v>442</v>
      </c>
    </row>
    <row r="119" spans="1:13" x14ac:dyDescent="0.25">
      <c r="A119" t="s">
        <v>150</v>
      </c>
      <c r="B119" t="s">
        <v>25</v>
      </c>
      <c r="C119" t="s">
        <v>26</v>
      </c>
      <c r="D119" t="s">
        <v>47</v>
      </c>
      <c r="E119" t="s">
        <v>13</v>
      </c>
      <c r="F119" s="1">
        <v>65</v>
      </c>
      <c r="G119" s="1" t="s">
        <v>443</v>
      </c>
      <c r="H119" s="5">
        <v>5423</v>
      </c>
      <c r="I119" t="s">
        <v>438</v>
      </c>
      <c r="J119" s="1">
        <v>9</v>
      </c>
      <c r="K119" s="1" t="s">
        <v>439</v>
      </c>
      <c r="L119">
        <v>78</v>
      </c>
      <c r="M119" t="s">
        <v>440</v>
      </c>
    </row>
    <row r="120" spans="1:13" x14ac:dyDescent="0.25">
      <c r="A120" t="s">
        <v>151</v>
      </c>
      <c r="B120" t="s">
        <v>15</v>
      </c>
      <c r="C120" t="s">
        <v>11</v>
      </c>
      <c r="D120" t="s">
        <v>47</v>
      </c>
      <c r="E120" t="s">
        <v>13</v>
      </c>
      <c r="F120" s="1">
        <v>78</v>
      </c>
      <c r="G120" s="1" t="s">
        <v>443</v>
      </c>
      <c r="H120" s="5">
        <v>9102</v>
      </c>
      <c r="I120" t="s">
        <v>438</v>
      </c>
      <c r="J120" s="1">
        <v>5</v>
      </c>
      <c r="K120" s="1" t="s">
        <v>447</v>
      </c>
      <c r="L120">
        <v>55</v>
      </c>
      <c r="M120" t="s">
        <v>442</v>
      </c>
    </row>
    <row r="121" spans="1:13" x14ac:dyDescent="0.25">
      <c r="A121" t="s">
        <v>152</v>
      </c>
      <c r="B121" t="s">
        <v>22</v>
      </c>
      <c r="C121" t="s">
        <v>11</v>
      </c>
      <c r="D121" t="s">
        <v>27</v>
      </c>
      <c r="E121" t="s">
        <v>13</v>
      </c>
      <c r="F121" s="1">
        <v>23</v>
      </c>
      <c r="G121" s="1" t="s">
        <v>450</v>
      </c>
      <c r="H121" s="5">
        <v>12708</v>
      </c>
      <c r="I121" t="s">
        <v>444</v>
      </c>
      <c r="J121" s="1">
        <v>13</v>
      </c>
      <c r="K121" s="1" t="s">
        <v>445</v>
      </c>
      <c r="L121">
        <v>91</v>
      </c>
      <c r="M121" t="s">
        <v>440</v>
      </c>
    </row>
    <row r="122" spans="1:13" x14ac:dyDescent="0.25">
      <c r="A122" t="s">
        <v>153</v>
      </c>
      <c r="B122" t="s">
        <v>25</v>
      </c>
      <c r="C122" t="s">
        <v>26</v>
      </c>
      <c r="D122" t="s">
        <v>42</v>
      </c>
      <c r="E122" t="s">
        <v>37</v>
      </c>
      <c r="F122" s="1">
        <v>56</v>
      </c>
      <c r="G122" s="1" t="s">
        <v>449</v>
      </c>
      <c r="H122" s="5">
        <v>6200</v>
      </c>
      <c r="I122" t="s">
        <v>438</v>
      </c>
      <c r="J122" s="1">
        <v>9</v>
      </c>
      <c r="K122" s="1" t="s">
        <v>439</v>
      </c>
      <c r="L122">
        <v>55</v>
      </c>
      <c r="M122" t="s">
        <v>442</v>
      </c>
    </row>
    <row r="123" spans="1:13" x14ac:dyDescent="0.25">
      <c r="A123" t="s">
        <v>154</v>
      </c>
      <c r="B123" t="s">
        <v>25</v>
      </c>
      <c r="C123" t="s">
        <v>26</v>
      </c>
      <c r="D123" t="s">
        <v>47</v>
      </c>
      <c r="E123" t="s">
        <v>17</v>
      </c>
      <c r="F123" s="1">
        <v>86</v>
      </c>
      <c r="G123" s="1" t="s">
        <v>443</v>
      </c>
      <c r="H123" s="5">
        <v>1856</v>
      </c>
      <c r="I123" t="s">
        <v>438</v>
      </c>
      <c r="J123" s="1">
        <v>4</v>
      </c>
      <c r="K123" s="1" t="s">
        <v>447</v>
      </c>
      <c r="L123">
        <v>71</v>
      </c>
      <c r="M123" t="s">
        <v>440</v>
      </c>
    </row>
    <row r="124" spans="1:13" x14ac:dyDescent="0.25">
      <c r="A124" t="s">
        <v>155</v>
      </c>
      <c r="B124" t="s">
        <v>25</v>
      </c>
      <c r="C124" t="s">
        <v>23</v>
      </c>
      <c r="D124" t="s">
        <v>27</v>
      </c>
      <c r="E124" t="s">
        <v>13</v>
      </c>
      <c r="F124" s="1">
        <v>52</v>
      </c>
      <c r="G124" s="1" t="s">
        <v>449</v>
      </c>
      <c r="H124" s="5">
        <v>1866</v>
      </c>
      <c r="I124" t="s">
        <v>438</v>
      </c>
      <c r="J124" s="1">
        <v>3</v>
      </c>
      <c r="K124" s="1" t="s">
        <v>447</v>
      </c>
      <c r="L124">
        <v>52</v>
      </c>
      <c r="M124" t="s">
        <v>442</v>
      </c>
    </row>
    <row r="125" spans="1:13" x14ac:dyDescent="0.25">
      <c r="A125" t="s">
        <v>156</v>
      </c>
      <c r="B125" t="s">
        <v>25</v>
      </c>
      <c r="C125" t="s">
        <v>11</v>
      </c>
      <c r="D125" t="s">
        <v>29</v>
      </c>
      <c r="E125" t="s">
        <v>17</v>
      </c>
      <c r="F125" s="1">
        <v>15</v>
      </c>
      <c r="G125" s="1" t="s">
        <v>451</v>
      </c>
      <c r="H125" s="5">
        <v>17657</v>
      </c>
      <c r="I125" t="s">
        <v>444</v>
      </c>
      <c r="J125" s="1">
        <v>11</v>
      </c>
      <c r="K125" s="1" t="s">
        <v>445</v>
      </c>
      <c r="L125">
        <v>82</v>
      </c>
      <c r="M125" t="s">
        <v>440</v>
      </c>
    </row>
    <row r="126" spans="1:13" x14ac:dyDescent="0.25">
      <c r="A126" t="s">
        <v>157</v>
      </c>
      <c r="B126" t="s">
        <v>49</v>
      </c>
      <c r="C126" t="s">
        <v>11</v>
      </c>
      <c r="D126" t="s">
        <v>20</v>
      </c>
      <c r="E126" t="s">
        <v>17</v>
      </c>
      <c r="F126" s="1">
        <v>7</v>
      </c>
      <c r="G126" s="1" t="s">
        <v>448</v>
      </c>
      <c r="H126" s="5">
        <v>8073</v>
      </c>
      <c r="I126" t="s">
        <v>438</v>
      </c>
      <c r="J126" s="1">
        <v>13</v>
      </c>
      <c r="K126" s="1" t="s">
        <v>445</v>
      </c>
      <c r="L126">
        <v>73</v>
      </c>
      <c r="M126" t="s">
        <v>440</v>
      </c>
    </row>
    <row r="127" spans="1:13" x14ac:dyDescent="0.25">
      <c r="A127" t="s">
        <v>158</v>
      </c>
      <c r="B127" t="s">
        <v>19</v>
      </c>
      <c r="C127" t="s">
        <v>23</v>
      </c>
      <c r="D127" t="s">
        <v>34</v>
      </c>
      <c r="E127" t="s">
        <v>13</v>
      </c>
      <c r="F127" s="1">
        <v>27</v>
      </c>
      <c r="G127" s="1" t="s">
        <v>450</v>
      </c>
      <c r="H127" s="5">
        <v>746</v>
      </c>
      <c r="I127" t="s">
        <v>438</v>
      </c>
      <c r="J127" s="1">
        <v>3</v>
      </c>
      <c r="K127" s="1" t="s">
        <v>447</v>
      </c>
      <c r="L127">
        <v>58</v>
      </c>
      <c r="M127" t="s">
        <v>442</v>
      </c>
    </row>
    <row r="128" spans="1:13" x14ac:dyDescent="0.25">
      <c r="A128" t="s">
        <v>159</v>
      </c>
      <c r="B128" t="s">
        <v>44</v>
      </c>
      <c r="C128" t="s">
        <v>23</v>
      </c>
      <c r="D128" t="s">
        <v>34</v>
      </c>
      <c r="E128" t="s">
        <v>17</v>
      </c>
      <c r="F128" s="1">
        <v>81</v>
      </c>
      <c r="G128" s="1" t="s">
        <v>443</v>
      </c>
      <c r="H128" s="5">
        <v>1446</v>
      </c>
      <c r="I128" t="s">
        <v>438</v>
      </c>
      <c r="J128" s="1">
        <v>1</v>
      </c>
      <c r="K128" s="1" t="s">
        <v>446</v>
      </c>
      <c r="L128">
        <v>95</v>
      </c>
      <c r="M128" t="s">
        <v>440</v>
      </c>
    </row>
    <row r="129" spans="1:13" x14ac:dyDescent="0.25">
      <c r="A129" t="s">
        <v>160</v>
      </c>
      <c r="B129" t="s">
        <v>22</v>
      </c>
      <c r="C129" t="s">
        <v>26</v>
      </c>
      <c r="D129" t="s">
        <v>20</v>
      </c>
      <c r="E129" t="s">
        <v>17</v>
      </c>
      <c r="F129" s="1">
        <v>53</v>
      </c>
      <c r="G129" s="1" t="s">
        <v>449</v>
      </c>
      <c r="H129" s="5">
        <v>1763</v>
      </c>
      <c r="I129" t="s">
        <v>438</v>
      </c>
      <c r="J129" s="1">
        <v>5</v>
      </c>
      <c r="K129" s="1" t="s">
        <v>447</v>
      </c>
      <c r="L129">
        <v>57</v>
      </c>
      <c r="M129" t="s">
        <v>442</v>
      </c>
    </row>
    <row r="130" spans="1:13" x14ac:dyDescent="0.25">
      <c r="A130" t="s">
        <v>161</v>
      </c>
      <c r="B130" t="s">
        <v>25</v>
      </c>
      <c r="C130" t="s">
        <v>11</v>
      </c>
      <c r="D130" t="s">
        <v>42</v>
      </c>
      <c r="E130" t="s">
        <v>13</v>
      </c>
      <c r="F130" s="1">
        <v>38</v>
      </c>
      <c r="G130" s="1" t="s">
        <v>437</v>
      </c>
      <c r="H130" s="5">
        <v>13337</v>
      </c>
      <c r="I130" t="s">
        <v>444</v>
      </c>
      <c r="J130" s="1">
        <v>9</v>
      </c>
      <c r="K130" s="1" t="s">
        <v>439</v>
      </c>
      <c r="L130">
        <v>76</v>
      </c>
      <c r="M130" t="s">
        <v>440</v>
      </c>
    </row>
    <row r="131" spans="1:13" x14ac:dyDescent="0.25">
      <c r="A131" t="s">
        <v>162</v>
      </c>
      <c r="B131" t="s">
        <v>49</v>
      </c>
      <c r="C131" t="s">
        <v>23</v>
      </c>
      <c r="D131" t="s">
        <v>34</v>
      </c>
      <c r="E131" t="s">
        <v>17</v>
      </c>
      <c r="F131" s="1">
        <v>71</v>
      </c>
      <c r="G131" s="1" t="s">
        <v>443</v>
      </c>
      <c r="H131" s="5">
        <v>496</v>
      </c>
      <c r="I131" t="s">
        <v>438</v>
      </c>
      <c r="J131" s="1">
        <v>2</v>
      </c>
      <c r="K131" s="1" t="s">
        <v>446</v>
      </c>
      <c r="L131">
        <v>62</v>
      </c>
      <c r="M131" t="s">
        <v>442</v>
      </c>
    </row>
    <row r="132" spans="1:13" x14ac:dyDescent="0.25">
      <c r="A132" t="s">
        <v>163</v>
      </c>
      <c r="B132" t="s">
        <v>19</v>
      </c>
      <c r="C132" t="s">
        <v>40</v>
      </c>
      <c r="D132" t="s">
        <v>31</v>
      </c>
      <c r="E132" t="s">
        <v>17</v>
      </c>
      <c r="F132" s="1">
        <v>54</v>
      </c>
      <c r="G132" s="1" t="s">
        <v>449</v>
      </c>
      <c r="H132" s="5">
        <v>3284</v>
      </c>
      <c r="I132" t="s">
        <v>438</v>
      </c>
      <c r="J132" s="1">
        <v>5</v>
      </c>
      <c r="K132" s="1" t="s">
        <v>447</v>
      </c>
      <c r="L132">
        <v>67</v>
      </c>
      <c r="M132" t="s">
        <v>440</v>
      </c>
    </row>
    <row r="133" spans="1:13" x14ac:dyDescent="0.25">
      <c r="A133" t="s">
        <v>164</v>
      </c>
      <c r="B133" t="s">
        <v>49</v>
      </c>
      <c r="C133" t="s">
        <v>11</v>
      </c>
      <c r="D133" t="s">
        <v>27</v>
      </c>
      <c r="E133" t="s">
        <v>13</v>
      </c>
      <c r="F133" s="1">
        <v>76</v>
      </c>
      <c r="G133" s="1" t="s">
        <v>443</v>
      </c>
      <c r="H133" s="5">
        <v>14501</v>
      </c>
      <c r="I133" t="s">
        <v>444</v>
      </c>
      <c r="J133" s="1">
        <v>15</v>
      </c>
      <c r="K133" s="1" t="s">
        <v>445</v>
      </c>
      <c r="L133">
        <v>81</v>
      </c>
      <c r="M133" t="s">
        <v>440</v>
      </c>
    </row>
    <row r="134" spans="1:13" x14ac:dyDescent="0.25">
      <c r="A134" t="s">
        <v>165</v>
      </c>
      <c r="B134" t="s">
        <v>49</v>
      </c>
      <c r="C134" t="s">
        <v>40</v>
      </c>
      <c r="D134" t="s">
        <v>34</v>
      </c>
      <c r="E134" t="s">
        <v>13</v>
      </c>
      <c r="F134" s="1">
        <v>45</v>
      </c>
      <c r="G134" s="1" t="s">
        <v>449</v>
      </c>
      <c r="H134" s="5">
        <v>3223</v>
      </c>
      <c r="I134" t="s">
        <v>438</v>
      </c>
      <c r="J134" s="1">
        <v>5</v>
      </c>
      <c r="K134" s="1" t="s">
        <v>447</v>
      </c>
      <c r="L134">
        <v>98</v>
      </c>
      <c r="M134" t="s">
        <v>440</v>
      </c>
    </row>
    <row r="135" spans="1:13" x14ac:dyDescent="0.25">
      <c r="A135" t="s">
        <v>166</v>
      </c>
      <c r="B135" t="s">
        <v>19</v>
      </c>
      <c r="C135" t="s">
        <v>23</v>
      </c>
      <c r="D135" t="s">
        <v>34</v>
      </c>
      <c r="E135" t="s">
        <v>13</v>
      </c>
      <c r="F135" s="1">
        <v>25</v>
      </c>
      <c r="G135" s="1" t="s">
        <v>450</v>
      </c>
      <c r="H135" s="5">
        <v>1628</v>
      </c>
      <c r="I135" t="s">
        <v>438</v>
      </c>
      <c r="J135" s="1">
        <v>1</v>
      </c>
      <c r="K135" s="1" t="s">
        <v>446</v>
      </c>
      <c r="L135">
        <v>86</v>
      </c>
      <c r="M135" t="s">
        <v>440</v>
      </c>
    </row>
    <row r="136" spans="1:13" x14ac:dyDescent="0.25">
      <c r="A136" t="s">
        <v>167</v>
      </c>
      <c r="B136" t="s">
        <v>25</v>
      </c>
      <c r="C136" t="s">
        <v>40</v>
      </c>
      <c r="D136" t="s">
        <v>47</v>
      </c>
      <c r="E136" t="s">
        <v>17</v>
      </c>
      <c r="F136" s="1">
        <v>61</v>
      </c>
      <c r="G136" s="1" t="s">
        <v>443</v>
      </c>
      <c r="H136" s="5">
        <v>3623</v>
      </c>
      <c r="I136" t="s">
        <v>438</v>
      </c>
      <c r="J136" s="1">
        <v>4</v>
      </c>
      <c r="K136" s="1" t="s">
        <v>447</v>
      </c>
      <c r="L136">
        <v>92</v>
      </c>
      <c r="M136" t="s">
        <v>440</v>
      </c>
    </row>
    <row r="137" spans="1:13" x14ac:dyDescent="0.25">
      <c r="A137" t="s">
        <v>168</v>
      </c>
      <c r="B137" t="s">
        <v>49</v>
      </c>
      <c r="C137" t="s">
        <v>40</v>
      </c>
      <c r="D137" t="s">
        <v>34</v>
      </c>
      <c r="E137" t="s">
        <v>13</v>
      </c>
      <c r="F137" s="1">
        <v>17</v>
      </c>
      <c r="G137" s="1" t="s">
        <v>451</v>
      </c>
      <c r="H137" s="5">
        <v>4614</v>
      </c>
      <c r="I137" t="s">
        <v>438</v>
      </c>
      <c r="J137" s="1">
        <v>5</v>
      </c>
      <c r="K137" s="1" t="s">
        <v>447</v>
      </c>
      <c r="L137">
        <v>71</v>
      </c>
      <c r="M137" t="s">
        <v>440</v>
      </c>
    </row>
    <row r="138" spans="1:13" x14ac:dyDescent="0.25">
      <c r="A138" t="s">
        <v>169</v>
      </c>
      <c r="B138" t="s">
        <v>49</v>
      </c>
      <c r="C138" t="s">
        <v>11</v>
      </c>
      <c r="D138" t="s">
        <v>34</v>
      </c>
      <c r="E138" t="s">
        <v>17</v>
      </c>
      <c r="F138" s="1">
        <v>59</v>
      </c>
      <c r="G138" s="1" t="s">
        <v>449</v>
      </c>
      <c r="H138" s="5">
        <v>5251</v>
      </c>
      <c r="I138" t="s">
        <v>438</v>
      </c>
      <c r="J138" s="1">
        <v>7</v>
      </c>
      <c r="K138" s="1" t="s">
        <v>439</v>
      </c>
      <c r="L138">
        <v>76</v>
      </c>
      <c r="M138" t="s">
        <v>440</v>
      </c>
    </row>
    <row r="139" spans="1:13" x14ac:dyDescent="0.25">
      <c r="A139" t="s">
        <v>170</v>
      </c>
      <c r="B139" t="s">
        <v>49</v>
      </c>
      <c r="C139" t="s">
        <v>40</v>
      </c>
      <c r="D139" t="s">
        <v>31</v>
      </c>
      <c r="E139" t="s">
        <v>17</v>
      </c>
      <c r="F139" s="1">
        <v>34</v>
      </c>
      <c r="G139" s="1" t="s">
        <v>437</v>
      </c>
      <c r="H139" s="5">
        <v>3273</v>
      </c>
      <c r="I139" t="s">
        <v>438</v>
      </c>
      <c r="J139" s="1">
        <v>5</v>
      </c>
      <c r="K139" s="1" t="s">
        <v>447</v>
      </c>
      <c r="L139">
        <v>94</v>
      </c>
      <c r="M139" t="s">
        <v>440</v>
      </c>
    </row>
    <row r="140" spans="1:13" x14ac:dyDescent="0.25">
      <c r="A140" t="s">
        <v>171</v>
      </c>
      <c r="B140" t="s">
        <v>25</v>
      </c>
      <c r="C140" t="s">
        <v>11</v>
      </c>
      <c r="D140" t="s">
        <v>29</v>
      </c>
      <c r="E140" t="s">
        <v>13</v>
      </c>
      <c r="F140" s="1">
        <v>69</v>
      </c>
      <c r="G140" s="1" t="s">
        <v>443</v>
      </c>
      <c r="H140" s="5">
        <v>11226</v>
      </c>
      <c r="I140" t="s">
        <v>444</v>
      </c>
      <c r="J140" s="1">
        <v>10</v>
      </c>
      <c r="K140" s="1" t="s">
        <v>439</v>
      </c>
      <c r="L140">
        <v>90</v>
      </c>
      <c r="M140" t="s">
        <v>440</v>
      </c>
    </row>
    <row r="141" spans="1:13" x14ac:dyDescent="0.25">
      <c r="A141" t="s">
        <v>172</v>
      </c>
      <c r="B141" t="s">
        <v>10</v>
      </c>
      <c r="C141" t="s">
        <v>23</v>
      </c>
      <c r="D141" t="s">
        <v>20</v>
      </c>
      <c r="E141" t="s">
        <v>17</v>
      </c>
      <c r="F141" s="1">
        <v>9</v>
      </c>
      <c r="G141" s="1" t="s">
        <v>448</v>
      </c>
      <c r="H141" s="5">
        <v>680</v>
      </c>
      <c r="I141" t="s">
        <v>438</v>
      </c>
      <c r="J141" s="1">
        <v>3</v>
      </c>
      <c r="K141" s="1" t="s">
        <v>447</v>
      </c>
      <c r="L141">
        <v>93</v>
      </c>
      <c r="M141" t="s">
        <v>440</v>
      </c>
    </row>
    <row r="142" spans="1:13" x14ac:dyDescent="0.25">
      <c r="A142" t="s">
        <v>173</v>
      </c>
      <c r="B142" t="s">
        <v>44</v>
      </c>
      <c r="C142" t="s">
        <v>40</v>
      </c>
      <c r="D142" t="s">
        <v>31</v>
      </c>
      <c r="E142" t="s">
        <v>17</v>
      </c>
      <c r="F142" s="1">
        <v>13</v>
      </c>
      <c r="G142" s="1" t="s">
        <v>451</v>
      </c>
      <c r="H142" s="5">
        <v>1323</v>
      </c>
      <c r="I142" t="s">
        <v>438</v>
      </c>
      <c r="J142" s="1">
        <v>4</v>
      </c>
      <c r="K142" s="1" t="s">
        <v>447</v>
      </c>
      <c r="L142">
        <v>60</v>
      </c>
      <c r="M142" t="s">
        <v>442</v>
      </c>
    </row>
    <row r="143" spans="1:13" x14ac:dyDescent="0.25">
      <c r="A143" t="s">
        <v>174</v>
      </c>
      <c r="B143" t="s">
        <v>10</v>
      </c>
      <c r="C143" t="s">
        <v>26</v>
      </c>
      <c r="D143" t="s">
        <v>12</v>
      </c>
      <c r="E143" t="s">
        <v>17</v>
      </c>
      <c r="F143" s="1">
        <v>8</v>
      </c>
      <c r="G143" s="1" t="s">
        <v>448</v>
      </c>
      <c r="H143" s="5">
        <v>3403</v>
      </c>
      <c r="I143" t="s">
        <v>438</v>
      </c>
      <c r="J143" s="1">
        <v>7</v>
      </c>
      <c r="K143" s="1" t="s">
        <v>439</v>
      </c>
      <c r="L143">
        <v>73</v>
      </c>
      <c r="M143" t="s">
        <v>440</v>
      </c>
    </row>
    <row r="144" spans="1:13" x14ac:dyDescent="0.25">
      <c r="A144" t="s">
        <v>175</v>
      </c>
      <c r="B144" t="s">
        <v>25</v>
      </c>
      <c r="C144" t="s">
        <v>40</v>
      </c>
      <c r="D144" t="s">
        <v>60</v>
      </c>
      <c r="E144" t="s">
        <v>13</v>
      </c>
      <c r="F144" s="1">
        <v>73</v>
      </c>
      <c r="G144" s="1" t="s">
        <v>443</v>
      </c>
      <c r="H144" s="5">
        <v>1975</v>
      </c>
      <c r="I144" t="s">
        <v>438</v>
      </c>
      <c r="J144" s="1">
        <v>2</v>
      </c>
      <c r="K144" s="1" t="s">
        <v>446</v>
      </c>
      <c r="L144">
        <v>61</v>
      </c>
      <c r="M144" t="s">
        <v>442</v>
      </c>
    </row>
    <row r="145" spans="1:13" x14ac:dyDescent="0.25">
      <c r="A145" t="s">
        <v>176</v>
      </c>
      <c r="B145" t="s">
        <v>15</v>
      </c>
      <c r="C145" t="s">
        <v>23</v>
      </c>
      <c r="D145" t="s">
        <v>16</v>
      </c>
      <c r="E145" t="s">
        <v>13</v>
      </c>
      <c r="F145" s="1">
        <v>64</v>
      </c>
      <c r="G145" s="1" t="s">
        <v>443</v>
      </c>
      <c r="H145" s="5">
        <v>1394</v>
      </c>
      <c r="I145" t="s">
        <v>438</v>
      </c>
      <c r="J145" s="1">
        <v>1</v>
      </c>
      <c r="K145" s="1" t="s">
        <v>446</v>
      </c>
      <c r="L145">
        <v>64</v>
      </c>
      <c r="M145" t="s">
        <v>442</v>
      </c>
    </row>
    <row r="146" spans="1:13" x14ac:dyDescent="0.25">
      <c r="A146" t="s">
        <v>177</v>
      </c>
      <c r="B146" t="s">
        <v>25</v>
      </c>
      <c r="C146" t="s">
        <v>26</v>
      </c>
      <c r="D146" t="s">
        <v>34</v>
      </c>
      <c r="E146" t="s">
        <v>17</v>
      </c>
      <c r="F146" s="1">
        <v>2</v>
      </c>
      <c r="G146" s="1" t="s">
        <v>441</v>
      </c>
      <c r="H146" s="5">
        <v>4811</v>
      </c>
      <c r="I146" t="s">
        <v>438</v>
      </c>
      <c r="J146" s="1">
        <v>6</v>
      </c>
      <c r="K146" s="1" t="s">
        <v>439</v>
      </c>
      <c r="L146">
        <v>93</v>
      </c>
      <c r="M146" t="s">
        <v>440</v>
      </c>
    </row>
    <row r="147" spans="1:13" x14ac:dyDescent="0.25">
      <c r="A147" t="s">
        <v>178</v>
      </c>
      <c r="B147" t="s">
        <v>19</v>
      </c>
      <c r="C147" t="s">
        <v>40</v>
      </c>
      <c r="D147" t="s">
        <v>31</v>
      </c>
      <c r="E147" t="s">
        <v>17</v>
      </c>
      <c r="F147" s="1">
        <v>45</v>
      </c>
      <c r="G147" s="1" t="s">
        <v>449</v>
      </c>
      <c r="H147" s="5">
        <v>2950</v>
      </c>
      <c r="I147" t="s">
        <v>438</v>
      </c>
      <c r="J147" s="1">
        <v>4</v>
      </c>
      <c r="K147" s="1" t="s">
        <v>447</v>
      </c>
      <c r="L147">
        <v>94</v>
      </c>
      <c r="M147" t="s">
        <v>440</v>
      </c>
    </row>
    <row r="148" spans="1:13" x14ac:dyDescent="0.25">
      <c r="A148" t="s">
        <v>179</v>
      </c>
      <c r="B148" t="s">
        <v>44</v>
      </c>
      <c r="C148" t="s">
        <v>23</v>
      </c>
      <c r="D148" t="s">
        <v>27</v>
      </c>
      <c r="E148" t="s">
        <v>17</v>
      </c>
      <c r="F148" s="1">
        <v>50</v>
      </c>
      <c r="G148" s="1" t="s">
        <v>449</v>
      </c>
      <c r="H148" s="5">
        <v>1947</v>
      </c>
      <c r="I148" t="s">
        <v>438</v>
      </c>
      <c r="J148" s="1">
        <v>2</v>
      </c>
      <c r="K148" s="1" t="s">
        <v>446</v>
      </c>
      <c r="L148">
        <v>56</v>
      </c>
      <c r="M148" t="s">
        <v>442</v>
      </c>
    </row>
    <row r="149" spans="1:13" x14ac:dyDescent="0.25">
      <c r="A149" t="s">
        <v>180</v>
      </c>
      <c r="B149" t="s">
        <v>22</v>
      </c>
      <c r="C149" t="s">
        <v>23</v>
      </c>
      <c r="D149" t="s">
        <v>16</v>
      </c>
      <c r="E149" t="s">
        <v>17</v>
      </c>
      <c r="F149" s="1">
        <v>38</v>
      </c>
      <c r="G149" s="1" t="s">
        <v>437</v>
      </c>
      <c r="H149" s="5">
        <v>1632</v>
      </c>
      <c r="I149" t="s">
        <v>438</v>
      </c>
      <c r="J149" s="1">
        <v>2</v>
      </c>
      <c r="K149" s="1" t="s">
        <v>446</v>
      </c>
      <c r="L149">
        <v>51</v>
      </c>
      <c r="M149" t="s">
        <v>442</v>
      </c>
    </row>
    <row r="150" spans="1:13" x14ac:dyDescent="0.25">
      <c r="A150" t="s">
        <v>181</v>
      </c>
      <c r="B150" t="s">
        <v>49</v>
      </c>
      <c r="C150" t="s">
        <v>23</v>
      </c>
      <c r="D150" t="s">
        <v>27</v>
      </c>
      <c r="E150" t="s">
        <v>17</v>
      </c>
      <c r="F150" s="1">
        <v>88</v>
      </c>
      <c r="G150" s="1" t="s">
        <v>443</v>
      </c>
      <c r="H150" s="5">
        <v>1793</v>
      </c>
      <c r="I150" t="s">
        <v>438</v>
      </c>
      <c r="J150" s="1">
        <v>3</v>
      </c>
      <c r="K150" s="1" t="s">
        <v>447</v>
      </c>
      <c r="L150">
        <v>53</v>
      </c>
      <c r="M150" t="s">
        <v>442</v>
      </c>
    </row>
    <row r="151" spans="1:13" x14ac:dyDescent="0.25">
      <c r="A151" t="s">
        <v>182</v>
      </c>
      <c r="B151" t="s">
        <v>19</v>
      </c>
      <c r="C151" t="s">
        <v>23</v>
      </c>
      <c r="D151" t="s">
        <v>27</v>
      </c>
      <c r="E151" t="s">
        <v>13</v>
      </c>
      <c r="F151" s="1">
        <v>30</v>
      </c>
      <c r="G151" s="1" t="s">
        <v>437</v>
      </c>
      <c r="H151" s="5">
        <v>1443</v>
      </c>
      <c r="I151" t="s">
        <v>438</v>
      </c>
      <c r="J151" s="1">
        <v>2</v>
      </c>
      <c r="K151" s="1" t="s">
        <v>446</v>
      </c>
      <c r="L151">
        <v>64</v>
      </c>
      <c r="M151" t="s">
        <v>442</v>
      </c>
    </row>
    <row r="152" spans="1:13" x14ac:dyDescent="0.25">
      <c r="A152" t="s">
        <v>183</v>
      </c>
      <c r="B152" t="s">
        <v>10</v>
      </c>
      <c r="C152" t="s">
        <v>40</v>
      </c>
      <c r="D152" t="s">
        <v>16</v>
      </c>
      <c r="E152" t="s">
        <v>17</v>
      </c>
      <c r="F152" s="1">
        <v>85</v>
      </c>
      <c r="G152" s="1" t="s">
        <v>443</v>
      </c>
      <c r="H152" s="5">
        <v>1620</v>
      </c>
      <c r="I152" t="s">
        <v>438</v>
      </c>
      <c r="J152" s="1">
        <v>1</v>
      </c>
      <c r="K152" s="1" t="s">
        <v>446</v>
      </c>
      <c r="L152">
        <v>90</v>
      </c>
      <c r="M152" t="s">
        <v>440</v>
      </c>
    </row>
    <row r="153" spans="1:13" x14ac:dyDescent="0.25">
      <c r="A153" t="s">
        <v>184</v>
      </c>
      <c r="B153" t="s">
        <v>10</v>
      </c>
      <c r="C153" t="s">
        <v>11</v>
      </c>
      <c r="D153" t="s">
        <v>27</v>
      </c>
      <c r="E153" t="s">
        <v>13</v>
      </c>
      <c r="F153" s="1">
        <v>5</v>
      </c>
      <c r="G153" s="1" t="s">
        <v>441</v>
      </c>
      <c r="H153" s="5">
        <v>14495</v>
      </c>
      <c r="I153" t="s">
        <v>444</v>
      </c>
      <c r="J153" s="1">
        <v>10</v>
      </c>
      <c r="K153" s="1" t="s">
        <v>439</v>
      </c>
      <c r="L153">
        <v>96</v>
      </c>
      <c r="M153" t="s">
        <v>440</v>
      </c>
    </row>
    <row r="154" spans="1:13" x14ac:dyDescent="0.25">
      <c r="A154" t="s">
        <v>185</v>
      </c>
      <c r="B154" t="s">
        <v>22</v>
      </c>
      <c r="C154" t="s">
        <v>11</v>
      </c>
      <c r="D154" t="s">
        <v>27</v>
      </c>
      <c r="E154" t="s">
        <v>17</v>
      </c>
      <c r="F154" s="1">
        <v>54</v>
      </c>
      <c r="G154" s="1" t="s">
        <v>449</v>
      </c>
      <c r="H154" s="5">
        <v>7877</v>
      </c>
      <c r="I154" t="s">
        <v>438</v>
      </c>
      <c r="J154" s="1">
        <v>8</v>
      </c>
      <c r="K154" s="1" t="s">
        <v>439</v>
      </c>
      <c r="L154">
        <v>58</v>
      </c>
      <c r="M154" t="s">
        <v>442</v>
      </c>
    </row>
    <row r="155" spans="1:13" x14ac:dyDescent="0.25">
      <c r="A155" t="s">
        <v>186</v>
      </c>
      <c r="B155" t="s">
        <v>49</v>
      </c>
      <c r="C155" t="s">
        <v>26</v>
      </c>
      <c r="D155" t="s">
        <v>20</v>
      </c>
      <c r="E155" t="s">
        <v>13</v>
      </c>
      <c r="F155" s="1">
        <v>35</v>
      </c>
      <c r="G155" s="1" t="s">
        <v>437</v>
      </c>
      <c r="H155" s="5">
        <v>2347</v>
      </c>
      <c r="I155" t="s">
        <v>438</v>
      </c>
      <c r="J155" s="1">
        <v>6</v>
      </c>
      <c r="K155" s="1" t="s">
        <v>439</v>
      </c>
      <c r="L155">
        <v>80</v>
      </c>
      <c r="M155" t="s">
        <v>440</v>
      </c>
    </row>
    <row r="156" spans="1:13" x14ac:dyDescent="0.25">
      <c r="A156" t="s">
        <v>187</v>
      </c>
      <c r="B156" t="s">
        <v>49</v>
      </c>
      <c r="C156" t="s">
        <v>26</v>
      </c>
      <c r="D156" t="s">
        <v>29</v>
      </c>
      <c r="E156" t="s">
        <v>13</v>
      </c>
      <c r="F156" s="1">
        <v>60</v>
      </c>
      <c r="G156" s="1" t="s">
        <v>449</v>
      </c>
      <c r="H156" s="5">
        <v>1616</v>
      </c>
      <c r="I156" t="s">
        <v>438</v>
      </c>
      <c r="J156" s="1">
        <v>4</v>
      </c>
      <c r="K156" s="1" t="s">
        <v>447</v>
      </c>
      <c r="L156">
        <v>98</v>
      </c>
      <c r="M156" t="s">
        <v>440</v>
      </c>
    </row>
    <row r="157" spans="1:13" x14ac:dyDescent="0.25">
      <c r="A157" t="s">
        <v>188</v>
      </c>
      <c r="B157" t="s">
        <v>22</v>
      </c>
      <c r="C157" t="s">
        <v>23</v>
      </c>
      <c r="D157" t="s">
        <v>20</v>
      </c>
      <c r="E157" t="s">
        <v>17</v>
      </c>
      <c r="F157" s="1">
        <v>51</v>
      </c>
      <c r="G157" s="1" t="s">
        <v>449</v>
      </c>
      <c r="H157" s="5">
        <v>228</v>
      </c>
      <c r="I157" t="s">
        <v>438</v>
      </c>
      <c r="J157" s="1">
        <v>2</v>
      </c>
      <c r="K157" s="1" t="s">
        <v>446</v>
      </c>
      <c r="L157">
        <v>84</v>
      </c>
      <c r="M157" t="s">
        <v>440</v>
      </c>
    </row>
    <row r="158" spans="1:13" x14ac:dyDescent="0.25">
      <c r="A158" t="s">
        <v>189</v>
      </c>
      <c r="B158" t="s">
        <v>15</v>
      </c>
      <c r="C158" t="s">
        <v>23</v>
      </c>
      <c r="D158" t="s">
        <v>29</v>
      </c>
      <c r="E158" t="s">
        <v>13</v>
      </c>
      <c r="F158" s="1">
        <v>87</v>
      </c>
      <c r="G158" s="1" t="s">
        <v>443</v>
      </c>
      <c r="H158" s="5">
        <v>736</v>
      </c>
      <c r="I158" t="s">
        <v>438</v>
      </c>
      <c r="J158" s="1">
        <v>3</v>
      </c>
      <c r="K158" s="1" t="s">
        <v>447</v>
      </c>
      <c r="L158">
        <v>74</v>
      </c>
      <c r="M158" t="s">
        <v>440</v>
      </c>
    </row>
    <row r="159" spans="1:13" x14ac:dyDescent="0.25">
      <c r="A159" t="s">
        <v>190</v>
      </c>
      <c r="B159" t="s">
        <v>49</v>
      </c>
      <c r="C159" t="s">
        <v>26</v>
      </c>
      <c r="D159" t="s">
        <v>31</v>
      </c>
      <c r="E159" t="s">
        <v>13</v>
      </c>
      <c r="F159" s="1">
        <v>61</v>
      </c>
      <c r="G159" s="1" t="s">
        <v>443</v>
      </c>
      <c r="H159" s="5">
        <v>1205</v>
      </c>
      <c r="I159" t="s">
        <v>438</v>
      </c>
      <c r="J159" s="1">
        <v>10</v>
      </c>
      <c r="K159" s="1" t="s">
        <v>439</v>
      </c>
      <c r="L159">
        <v>70</v>
      </c>
      <c r="M159" t="s">
        <v>440</v>
      </c>
    </row>
    <row r="160" spans="1:13" x14ac:dyDescent="0.25">
      <c r="A160" t="s">
        <v>191</v>
      </c>
      <c r="B160" t="s">
        <v>19</v>
      </c>
      <c r="C160" t="s">
        <v>40</v>
      </c>
      <c r="D160" t="s">
        <v>31</v>
      </c>
      <c r="E160" t="s">
        <v>13</v>
      </c>
      <c r="F160" s="1">
        <v>60</v>
      </c>
      <c r="G160" s="1" t="s">
        <v>449</v>
      </c>
      <c r="H160" s="5">
        <v>2975</v>
      </c>
      <c r="I160" t="s">
        <v>438</v>
      </c>
      <c r="J160" s="1">
        <v>4</v>
      </c>
      <c r="K160" s="1" t="s">
        <v>447</v>
      </c>
      <c r="L160">
        <v>57</v>
      </c>
      <c r="M160" t="s">
        <v>442</v>
      </c>
    </row>
    <row r="161" spans="1:13" x14ac:dyDescent="0.25">
      <c r="A161" t="s">
        <v>192</v>
      </c>
      <c r="B161" t="s">
        <v>22</v>
      </c>
      <c r="C161" t="s">
        <v>11</v>
      </c>
      <c r="D161" t="s">
        <v>12</v>
      </c>
      <c r="E161" t="s">
        <v>17</v>
      </c>
      <c r="F161" s="1">
        <v>64</v>
      </c>
      <c r="G161" s="1" t="s">
        <v>443</v>
      </c>
      <c r="H161" s="5">
        <v>6902</v>
      </c>
      <c r="I161" t="s">
        <v>438</v>
      </c>
      <c r="J161" s="1">
        <v>6</v>
      </c>
      <c r="K161" s="1" t="s">
        <v>439</v>
      </c>
      <c r="L161">
        <v>65</v>
      </c>
      <c r="M161" t="s">
        <v>442</v>
      </c>
    </row>
    <row r="162" spans="1:13" x14ac:dyDescent="0.25">
      <c r="A162" t="s">
        <v>193</v>
      </c>
      <c r="B162" t="s">
        <v>19</v>
      </c>
      <c r="C162" t="s">
        <v>40</v>
      </c>
      <c r="D162" t="s">
        <v>47</v>
      </c>
      <c r="E162" t="s">
        <v>17</v>
      </c>
      <c r="F162" s="1">
        <v>86</v>
      </c>
      <c r="G162" s="1" t="s">
        <v>443</v>
      </c>
      <c r="H162" s="5">
        <v>4925</v>
      </c>
      <c r="I162" t="s">
        <v>438</v>
      </c>
      <c r="J162" s="1">
        <v>4</v>
      </c>
      <c r="K162" s="1" t="s">
        <v>447</v>
      </c>
      <c r="L162">
        <v>87</v>
      </c>
      <c r="M162" t="s">
        <v>440</v>
      </c>
    </row>
    <row r="163" spans="1:13" x14ac:dyDescent="0.25">
      <c r="A163" t="s">
        <v>194</v>
      </c>
      <c r="B163" t="s">
        <v>10</v>
      </c>
      <c r="C163" t="s">
        <v>40</v>
      </c>
      <c r="D163" t="s">
        <v>47</v>
      </c>
      <c r="E163" t="s">
        <v>13</v>
      </c>
      <c r="F163" s="1">
        <v>63</v>
      </c>
      <c r="G163" s="1" t="s">
        <v>443</v>
      </c>
      <c r="H163" s="5">
        <v>3843</v>
      </c>
      <c r="I163" t="s">
        <v>438</v>
      </c>
      <c r="J163" s="1">
        <v>3</v>
      </c>
      <c r="K163" s="1" t="s">
        <v>447</v>
      </c>
      <c r="L163">
        <v>52</v>
      </c>
      <c r="M163" t="s">
        <v>442</v>
      </c>
    </row>
    <row r="164" spans="1:13" x14ac:dyDescent="0.25">
      <c r="A164" t="s">
        <v>195</v>
      </c>
      <c r="B164" t="s">
        <v>10</v>
      </c>
      <c r="C164" t="s">
        <v>26</v>
      </c>
      <c r="D164" t="s">
        <v>60</v>
      </c>
      <c r="E164" t="s">
        <v>17</v>
      </c>
      <c r="F164" s="1">
        <v>31</v>
      </c>
      <c r="G164" s="1" t="s">
        <v>437</v>
      </c>
      <c r="H164" s="5">
        <v>3971</v>
      </c>
      <c r="I164" t="s">
        <v>438</v>
      </c>
      <c r="J164" s="1">
        <v>3</v>
      </c>
      <c r="K164" s="1" t="s">
        <v>447</v>
      </c>
      <c r="L164">
        <v>93</v>
      </c>
      <c r="M164" t="s">
        <v>440</v>
      </c>
    </row>
    <row r="165" spans="1:13" x14ac:dyDescent="0.25">
      <c r="A165" t="s">
        <v>196</v>
      </c>
      <c r="B165" t="s">
        <v>44</v>
      </c>
      <c r="C165" t="s">
        <v>26</v>
      </c>
      <c r="D165" t="s">
        <v>12</v>
      </c>
      <c r="E165" t="s">
        <v>17</v>
      </c>
      <c r="F165" s="1">
        <v>25</v>
      </c>
      <c r="G165" s="1" t="s">
        <v>450</v>
      </c>
      <c r="H165" s="5">
        <v>2000</v>
      </c>
      <c r="I165" t="s">
        <v>438</v>
      </c>
      <c r="J165" s="1">
        <v>9</v>
      </c>
      <c r="K165" s="1" t="s">
        <v>439</v>
      </c>
      <c r="L165">
        <v>55</v>
      </c>
      <c r="M165" t="s">
        <v>442</v>
      </c>
    </row>
    <row r="166" spans="1:13" x14ac:dyDescent="0.25">
      <c r="A166" t="s">
        <v>197</v>
      </c>
      <c r="B166" t="s">
        <v>10</v>
      </c>
      <c r="C166" t="s">
        <v>40</v>
      </c>
      <c r="D166" t="s">
        <v>16</v>
      </c>
      <c r="E166" t="s">
        <v>13</v>
      </c>
      <c r="F166" s="1">
        <v>7</v>
      </c>
      <c r="G166" s="1" t="s">
        <v>448</v>
      </c>
      <c r="H166" s="5">
        <v>3232</v>
      </c>
      <c r="I166" t="s">
        <v>438</v>
      </c>
      <c r="J166" s="1">
        <v>2</v>
      </c>
      <c r="K166" s="1" t="s">
        <v>446</v>
      </c>
      <c r="L166">
        <v>58</v>
      </c>
      <c r="M166" t="s">
        <v>442</v>
      </c>
    </row>
    <row r="167" spans="1:13" x14ac:dyDescent="0.25">
      <c r="A167" t="s">
        <v>198</v>
      </c>
      <c r="B167" t="s">
        <v>49</v>
      </c>
      <c r="C167" t="s">
        <v>40</v>
      </c>
      <c r="D167" t="s">
        <v>31</v>
      </c>
      <c r="E167" t="s">
        <v>13</v>
      </c>
      <c r="F167" s="1">
        <v>71</v>
      </c>
      <c r="G167" s="1" t="s">
        <v>443</v>
      </c>
      <c r="H167" s="5">
        <v>2197</v>
      </c>
      <c r="I167" t="s">
        <v>438</v>
      </c>
      <c r="J167" s="1">
        <v>5</v>
      </c>
      <c r="K167" s="1" t="s">
        <v>447</v>
      </c>
      <c r="L167">
        <v>63</v>
      </c>
      <c r="M167" t="s">
        <v>442</v>
      </c>
    </row>
    <row r="168" spans="1:13" x14ac:dyDescent="0.25">
      <c r="A168" t="s">
        <v>199</v>
      </c>
      <c r="B168" t="s">
        <v>49</v>
      </c>
      <c r="C168" t="s">
        <v>40</v>
      </c>
      <c r="D168" t="s">
        <v>29</v>
      </c>
      <c r="E168" t="s">
        <v>13</v>
      </c>
      <c r="F168" s="1">
        <v>77</v>
      </c>
      <c r="G168" s="1" t="s">
        <v>443</v>
      </c>
      <c r="H168" s="5">
        <v>523</v>
      </c>
      <c r="I168" t="s">
        <v>438</v>
      </c>
      <c r="J168" s="1">
        <v>3</v>
      </c>
      <c r="K168" s="1" t="s">
        <v>447</v>
      </c>
      <c r="L168">
        <v>59</v>
      </c>
      <c r="M168" t="s">
        <v>442</v>
      </c>
    </row>
    <row r="169" spans="1:13" x14ac:dyDescent="0.25">
      <c r="A169" t="s">
        <v>200</v>
      </c>
      <c r="B169" t="s">
        <v>22</v>
      </c>
      <c r="C169" t="s">
        <v>26</v>
      </c>
      <c r="D169" t="s">
        <v>42</v>
      </c>
      <c r="E169" t="s">
        <v>17</v>
      </c>
      <c r="F169" s="1">
        <v>4</v>
      </c>
      <c r="G169" s="1" t="s">
        <v>441</v>
      </c>
      <c r="H169" s="5">
        <v>2079</v>
      </c>
      <c r="I169" t="s">
        <v>438</v>
      </c>
      <c r="J169" s="1">
        <v>2</v>
      </c>
      <c r="K169" s="1" t="s">
        <v>446</v>
      </c>
      <c r="L169">
        <v>72</v>
      </c>
      <c r="M169" t="s">
        <v>440</v>
      </c>
    </row>
    <row r="170" spans="1:13" x14ac:dyDescent="0.25">
      <c r="A170" t="s">
        <v>201</v>
      </c>
      <c r="B170" t="s">
        <v>49</v>
      </c>
      <c r="C170" t="s">
        <v>40</v>
      </c>
      <c r="D170" t="s">
        <v>16</v>
      </c>
      <c r="E170" t="s">
        <v>17</v>
      </c>
      <c r="F170" s="1">
        <v>23</v>
      </c>
      <c r="G170" s="1" t="s">
        <v>450</v>
      </c>
      <c r="H170" s="5">
        <v>2673</v>
      </c>
      <c r="I170" t="s">
        <v>438</v>
      </c>
      <c r="J170" s="1">
        <v>1</v>
      </c>
      <c r="K170" s="1" t="s">
        <v>446</v>
      </c>
      <c r="L170">
        <v>58</v>
      </c>
      <c r="M170" t="s">
        <v>442</v>
      </c>
    </row>
    <row r="171" spans="1:13" x14ac:dyDescent="0.25">
      <c r="A171" t="s">
        <v>202</v>
      </c>
      <c r="B171" t="s">
        <v>10</v>
      </c>
      <c r="C171" t="s">
        <v>23</v>
      </c>
      <c r="D171" t="s">
        <v>20</v>
      </c>
      <c r="E171" t="s">
        <v>17</v>
      </c>
      <c r="F171" s="1">
        <v>9</v>
      </c>
      <c r="G171" s="1" t="s">
        <v>448</v>
      </c>
      <c r="H171" s="5">
        <v>1175</v>
      </c>
      <c r="I171" t="s">
        <v>438</v>
      </c>
      <c r="J171" s="1">
        <v>2</v>
      </c>
      <c r="K171" s="1" t="s">
        <v>446</v>
      </c>
      <c r="L171">
        <v>99</v>
      </c>
      <c r="M171" t="s">
        <v>440</v>
      </c>
    </row>
    <row r="172" spans="1:13" x14ac:dyDescent="0.25">
      <c r="A172" t="s">
        <v>203</v>
      </c>
      <c r="B172" t="s">
        <v>44</v>
      </c>
      <c r="C172" t="s">
        <v>11</v>
      </c>
      <c r="D172" t="s">
        <v>34</v>
      </c>
      <c r="E172" t="s">
        <v>13</v>
      </c>
      <c r="F172" s="1">
        <v>79</v>
      </c>
      <c r="G172" s="1" t="s">
        <v>443</v>
      </c>
      <c r="H172" s="5">
        <v>5710</v>
      </c>
      <c r="I172" t="s">
        <v>438</v>
      </c>
      <c r="J172" s="1">
        <v>15</v>
      </c>
      <c r="K172" s="1" t="s">
        <v>445</v>
      </c>
      <c r="L172">
        <v>83</v>
      </c>
      <c r="M172" t="s">
        <v>440</v>
      </c>
    </row>
    <row r="173" spans="1:13" x14ac:dyDescent="0.25">
      <c r="A173" t="s">
        <v>204</v>
      </c>
      <c r="B173" t="s">
        <v>44</v>
      </c>
      <c r="C173" t="s">
        <v>23</v>
      </c>
      <c r="D173" t="s">
        <v>12</v>
      </c>
      <c r="E173" t="s">
        <v>17</v>
      </c>
      <c r="F173" s="1">
        <v>62</v>
      </c>
      <c r="G173" s="1" t="s">
        <v>443</v>
      </c>
      <c r="H173" s="5">
        <v>1935</v>
      </c>
      <c r="I173" t="s">
        <v>438</v>
      </c>
      <c r="J173" s="1">
        <v>2</v>
      </c>
      <c r="K173" s="1" t="s">
        <v>446</v>
      </c>
      <c r="L173">
        <v>77</v>
      </c>
      <c r="M173" t="s">
        <v>440</v>
      </c>
    </row>
    <row r="174" spans="1:13" x14ac:dyDescent="0.25">
      <c r="A174" t="s">
        <v>205</v>
      </c>
      <c r="B174" t="s">
        <v>10</v>
      </c>
      <c r="C174" t="s">
        <v>11</v>
      </c>
      <c r="D174" t="s">
        <v>34</v>
      </c>
      <c r="E174" t="s">
        <v>13</v>
      </c>
      <c r="F174" s="1">
        <v>57</v>
      </c>
      <c r="G174" s="1" t="s">
        <v>449</v>
      </c>
      <c r="H174" s="5">
        <v>6204</v>
      </c>
      <c r="I174" t="s">
        <v>438</v>
      </c>
      <c r="J174" s="1">
        <v>6</v>
      </c>
      <c r="K174" s="1" t="s">
        <v>439</v>
      </c>
      <c r="L174">
        <v>70</v>
      </c>
      <c r="M174" t="s">
        <v>440</v>
      </c>
    </row>
    <row r="175" spans="1:13" x14ac:dyDescent="0.25">
      <c r="A175" t="s">
        <v>206</v>
      </c>
      <c r="B175" t="s">
        <v>19</v>
      </c>
      <c r="C175" t="s">
        <v>40</v>
      </c>
      <c r="D175" t="s">
        <v>31</v>
      </c>
      <c r="E175" t="s">
        <v>17</v>
      </c>
      <c r="F175" s="1">
        <v>80</v>
      </c>
      <c r="G175" s="1" t="s">
        <v>443</v>
      </c>
      <c r="H175" s="5">
        <v>4992</v>
      </c>
      <c r="I175" t="s">
        <v>438</v>
      </c>
      <c r="J175" s="1">
        <v>3</v>
      </c>
      <c r="K175" s="1" t="s">
        <v>447</v>
      </c>
      <c r="L175">
        <v>74</v>
      </c>
      <c r="M175" t="s">
        <v>440</v>
      </c>
    </row>
    <row r="176" spans="1:13" x14ac:dyDescent="0.25">
      <c r="A176" t="s">
        <v>207</v>
      </c>
      <c r="B176" t="s">
        <v>19</v>
      </c>
      <c r="C176" t="s">
        <v>26</v>
      </c>
      <c r="D176" t="s">
        <v>34</v>
      </c>
      <c r="E176" t="s">
        <v>13</v>
      </c>
      <c r="F176" s="1">
        <v>56</v>
      </c>
      <c r="G176" s="1" t="s">
        <v>449</v>
      </c>
      <c r="H176" s="5">
        <v>1812</v>
      </c>
      <c r="I176" t="s">
        <v>438</v>
      </c>
      <c r="J176" s="1">
        <v>3</v>
      </c>
      <c r="K176" s="1" t="s">
        <v>447</v>
      </c>
      <c r="L176">
        <v>91</v>
      </c>
      <c r="M176" t="s">
        <v>440</v>
      </c>
    </row>
    <row r="177" spans="1:13" x14ac:dyDescent="0.25">
      <c r="A177" t="s">
        <v>208</v>
      </c>
      <c r="B177" t="s">
        <v>10</v>
      </c>
      <c r="C177" t="s">
        <v>40</v>
      </c>
      <c r="D177" t="s">
        <v>47</v>
      </c>
      <c r="E177" t="s">
        <v>17</v>
      </c>
      <c r="F177" s="1">
        <v>30</v>
      </c>
      <c r="G177" s="1" t="s">
        <v>437</v>
      </c>
      <c r="H177" s="5">
        <v>3889</v>
      </c>
      <c r="I177" t="s">
        <v>438</v>
      </c>
      <c r="J177" s="1">
        <v>3</v>
      </c>
      <c r="K177" s="1" t="s">
        <v>447</v>
      </c>
      <c r="L177">
        <v>79</v>
      </c>
      <c r="M177" t="s">
        <v>440</v>
      </c>
    </row>
    <row r="178" spans="1:13" x14ac:dyDescent="0.25">
      <c r="A178" t="s">
        <v>209</v>
      </c>
      <c r="B178" t="s">
        <v>25</v>
      </c>
      <c r="C178" t="s">
        <v>23</v>
      </c>
      <c r="D178" t="s">
        <v>31</v>
      </c>
      <c r="E178" t="s">
        <v>17</v>
      </c>
      <c r="F178" s="1">
        <v>41</v>
      </c>
      <c r="G178" s="1" t="s">
        <v>437</v>
      </c>
      <c r="H178" s="5">
        <v>1562</v>
      </c>
      <c r="I178" t="s">
        <v>438</v>
      </c>
      <c r="J178" s="1">
        <v>2</v>
      </c>
      <c r="K178" s="1" t="s">
        <v>446</v>
      </c>
      <c r="L178">
        <v>73</v>
      </c>
      <c r="M178" t="s">
        <v>440</v>
      </c>
    </row>
    <row r="179" spans="1:13" x14ac:dyDescent="0.25">
      <c r="A179" t="s">
        <v>210</v>
      </c>
      <c r="B179" t="s">
        <v>22</v>
      </c>
      <c r="C179" t="s">
        <v>23</v>
      </c>
      <c r="D179" t="s">
        <v>31</v>
      </c>
      <c r="E179" t="s">
        <v>17</v>
      </c>
      <c r="F179" s="1">
        <v>11</v>
      </c>
      <c r="G179" s="1" t="s">
        <v>448</v>
      </c>
      <c r="H179" s="5">
        <v>390</v>
      </c>
      <c r="I179" t="s">
        <v>438</v>
      </c>
      <c r="J179" s="1">
        <v>2</v>
      </c>
      <c r="K179" s="1" t="s">
        <v>446</v>
      </c>
      <c r="L179">
        <v>56</v>
      </c>
      <c r="M179" t="s">
        <v>442</v>
      </c>
    </row>
    <row r="180" spans="1:13" x14ac:dyDescent="0.25">
      <c r="A180" t="s">
        <v>211</v>
      </c>
      <c r="B180" t="s">
        <v>10</v>
      </c>
      <c r="C180" t="s">
        <v>26</v>
      </c>
      <c r="D180" t="s">
        <v>42</v>
      </c>
      <c r="E180" t="s">
        <v>13</v>
      </c>
      <c r="F180" s="1">
        <v>76</v>
      </c>
      <c r="G180" s="1" t="s">
        <v>443</v>
      </c>
      <c r="H180" s="5">
        <v>5600</v>
      </c>
      <c r="I180" t="s">
        <v>438</v>
      </c>
      <c r="J180" s="1">
        <v>10</v>
      </c>
      <c r="K180" s="1" t="s">
        <v>439</v>
      </c>
      <c r="L180">
        <v>71</v>
      </c>
      <c r="M180" t="s">
        <v>440</v>
      </c>
    </row>
    <row r="181" spans="1:13" x14ac:dyDescent="0.25">
      <c r="A181" t="s">
        <v>212</v>
      </c>
      <c r="B181" t="s">
        <v>10</v>
      </c>
      <c r="C181" t="s">
        <v>11</v>
      </c>
      <c r="D181" t="s">
        <v>47</v>
      </c>
      <c r="E181" t="s">
        <v>17</v>
      </c>
      <c r="F181" s="1">
        <v>86</v>
      </c>
      <c r="G181" s="1" t="s">
        <v>443</v>
      </c>
      <c r="H181" s="5">
        <v>17292</v>
      </c>
      <c r="I181" t="s">
        <v>444</v>
      </c>
      <c r="J181" s="1">
        <v>11</v>
      </c>
      <c r="K181" s="1" t="s">
        <v>445</v>
      </c>
      <c r="L181">
        <v>96</v>
      </c>
      <c r="M181" t="s">
        <v>440</v>
      </c>
    </row>
    <row r="182" spans="1:13" x14ac:dyDescent="0.25">
      <c r="A182" t="s">
        <v>213</v>
      </c>
      <c r="B182" t="s">
        <v>15</v>
      </c>
      <c r="C182" t="s">
        <v>26</v>
      </c>
      <c r="D182" t="s">
        <v>16</v>
      </c>
      <c r="E182" t="s">
        <v>17</v>
      </c>
      <c r="F182" s="1">
        <v>14</v>
      </c>
      <c r="G182" s="1" t="s">
        <v>451</v>
      </c>
      <c r="H182" s="5">
        <v>5734</v>
      </c>
      <c r="I182" t="s">
        <v>438</v>
      </c>
      <c r="J182" s="1">
        <v>10</v>
      </c>
      <c r="K182" s="1" t="s">
        <v>439</v>
      </c>
      <c r="L182">
        <v>63</v>
      </c>
      <c r="M182" t="s">
        <v>442</v>
      </c>
    </row>
    <row r="183" spans="1:13" x14ac:dyDescent="0.25">
      <c r="A183" t="s">
        <v>214</v>
      </c>
      <c r="B183" t="s">
        <v>22</v>
      </c>
      <c r="C183" t="s">
        <v>23</v>
      </c>
      <c r="D183" t="s">
        <v>60</v>
      </c>
      <c r="E183" t="s">
        <v>13</v>
      </c>
      <c r="F183" s="1">
        <v>45</v>
      </c>
      <c r="G183" s="1" t="s">
        <v>449</v>
      </c>
      <c r="H183" s="5">
        <v>1931</v>
      </c>
      <c r="I183" t="s">
        <v>438</v>
      </c>
      <c r="J183" s="1">
        <v>3</v>
      </c>
      <c r="K183" s="1" t="s">
        <v>447</v>
      </c>
      <c r="L183">
        <v>73</v>
      </c>
      <c r="M183" t="s">
        <v>440</v>
      </c>
    </row>
    <row r="184" spans="1:13" x14ac:dyDescent="0.25">
      <c r="A184" t="s">
        <v>215</v>
      </c>
      <c r="B184" t="s">
        <v>15</v>
      </c>
      <c r="C184" t="s">
        <v>26</v>
      </c>
      <c r="D184" t="s">
        <v>16</v>
      </c>
      <c r="E184" t="s">
        <v>17</v>
      </c>
      <c r="F184" s="1">
        <v>55</v>
      </c>
      <c r="G184" s="1" t="s">
        <v>449</v>
      </c>
      <c r="H184" s="5">
        <v>5595</v>
      </c>
      <c r="I184" t="s">
        <v>438</v>
      </c>
      <c r="J184" s="1">
        <v>10</v>
      </c>
      <c r="K184" s="1" t="s">
        <v>439</v>
      </c>
      <c r="L184">
        <v>51</v>
      </c>
      <c r="M184" t="s">
        <v>442</v>
      </c>
    </row>
    <row r="185" spans="1:13" x14ac:dyDescent="0.25">
      <c r="A185" t="s">
        <v>216</v>
      </c>
      <c r="B185" t="s">
        <v>19</v>
      </c>
      <c r="C185" t="s">
        <v>26</v>
      </c>
      <c r="D185" t="s">
        <v>12</v>
      </c>
      <c r="E185" t="s">
        <v>17</v>
      </c>
      <c r="F185" s="1">
        <v>90</v>
      </c>
      <c r="G185" s="1" t="s">
        <v>443</v>
      </c>
      <c r="H185" s="5">
        <v>3531</v>
      </c>
      <c r="I185" t="s">
        <v>438</v>
      </c>
      <c r="J185" s="1">
        <v>7</v>
      </c>
      <c r="K185" s="1" t="s">
        <v>439</v>
      </c>
      <c r="L185">
        <v>72</v>
      </c>
      <c r="M185" t="s">
        <v>440</v>
      </c>
    </row>
    <row r="186" spans="1:13" x14ac:dyDescent="0.25">
      <c r="A186" t="s">
        <v>217</v>
      </c>
      <c r="B186" t="s">
        <v>15</v>
      </c>
      <c r="C186" t="s">
        <v>40</v>
      </c>
      <c r="D186" t="s">
        <v>42</v>
      </c>
      <c r="E186" t="s">
        <v>13</v>
      </c>
      <c r="F186" s="1">
        <v>52</v>
      </c>
      <c r="G186" s="1" t="s">
        <v>449</v>
      </c>
      <c r="H186" s="5">
        <v>1070</v>
      </c>
      <c r="I186" t="s">
        <v>438</v>
      </c>
      <c r="J186" s="1">
        <v>2</v>
      </c>
      <c r="K186" s="1" t="s">
        <v>446</v>
      </c>
      <c r="L186">
        <v>97</v>
      </c>
      <c r="M186" t="s">
        <v>440</v>
      </c>
    </row>
    <row r="187" spans="1:13" x14ac:dyDescent="0.25">
      <c r="A187" t="s">
        <v>218</v>
      </c>
      <c r="B187" t="s">
        <v>10</v>
      </c>
      <c r="C187" t="s">
        <v>11</v>
      </c>
      <c r="D187" t="s">
        <v>31</v>
      </c>
      <c r="E187" t="s">
        <v>13</v>
      </c>
      <c r="F187" s="1">
        <v>28</v>
      </c>
      <c r="G187" s="1" t="s">
        <v>450</v>
      </c>
      <c r="H187" s="5">
        <v>11163</v>
      </c>
      <c r="I187" t="s">
        <v>444</v>
      </c>
      <c r="J187" s="1">
        <v>11</v>
      </c>
      <c r="K187" s="1" t="s">
        <v>445</v>
      </c>
      <c r="L187">
        <v>79</v>
      </c>
      <c r="M187" t="s">
        <v>440</v>
      </c>
    </row>
    <row r="188" spans="1:13" x14ac:dyDescent="0.25">
      <c r="A188" t="s">
        <v>219</v>
      </c>
      <c r="B188" t="s">
        <v>44</v>
      </c>
      <c r="C188" t="s">
        <v>40</v>
      </c>
      <c r="D188" t="s">
        <v>29</v>
      </c>
      <c r="E188" t="s">
        <v>17</v>
      </c>
      <c r="F188" s="1">
        <v>42</v>
      </c>
      <c r="G188" s="1" t="s">
        <v>437</v>
      </c>
      <c r="H188" s="5">
        <v>1195</v>
      </c>
      <c r="I188" t="s">
        <v>438</v>
      </c>
      <c r="J188" s="1">
        <v>1</v>
      </c>
      <c r="K188" s="1" t="s">
        <v>446</v>
      </c>
      <c r="L188">
        <v>59</v>
      </c>
      <c r="M188" t="s">
        <v>442</v>
      </c>
    </row>
    <row r="189" spans="1:13" x14ac:dyDescent="0.25">
      <c r="A189" t="s">
        <v>220</v>
      </c>
      <c r="B189" t="s">
        <v>22</v>
      </c>
      <c r="C189" t="s">
        <v>11</v>
      </c>
      <c r="D189" t="s">
        <v>31</v>
      </c>
      <c r="E189" t="s">
        <v>17</v>
      </c>
      <c r="F189" s="1">
        <v>85</v>
      </c>
      <c r="G189" s="1" t="s">
        <v>443</v>
      </c>
      <c r="H189" s="5">
        <v>11947</v>
      </c>
      <c r="I189" t="s">
        <v>444</v>
      </c>
      <c r="J189" s="1">
        <v>12</v>
      </c>
      <c r="K189" s="1" t="s">
        <v>445</v>
      </c>
      <c r="L189">
        <v>88</v>
      </c>
      <c r="M189" t="s">
        <v>440</v>
      </c>
    </row>
    <row r="190" spans="1:13" x14ac:dyDescent="0.25">
      <c r="A190" t="s">
        <v>221</v>
      </c>
      <c r="B190" t="s">
        <v>25</v>
      </c>
      <c r="C190" t="s">
        <v>23</v>
      </c>
      <c r="D190" t="s">
        <v>27</v>
      </c>
      <c r="E190" t="s">
        <v>17</v>
      </c>
      <c r="F190" s="1">
        <v>66</v>
      </c>
      <c r="G190" s="1" t="s">
        <v>443</v>
      </c>
      <c r="H190" s="5">
        <v>433</v>
      </c>
      <c r="I190" t="s">
        <v>438</v>
      </c>
      <c r="J190" s="1">
        <v>2</v>
      </c>
      <c r="K190" s="1" t="s">
        <v>446</v>
      </c>
      <c r="L190">
        <v>77</v>
      </c>
      <c r="M190" t="s">
        <v>440</v>
      </c>
    </row>
    <row r="191" spans="1:13" x14ac:dyDescent="0.25">
      <c r="A191" t="s">
        <v>222</v>
      </c>
      <c r="B191" t="s">
        <v>15</v>
      </c>
      <c r="C191" t="s">
        <v>26</v>
      </c>
      <c r="D191" t="s">
        <v>16</v>
      </c>
      <c r="E191" t="s">
        <v>17</v>
      </c>
      <c r="F191" s="1">
        <v>86</v>
      </c>
      <c r="G191" s="1" t="s">
        <v>443</v>
      </c>
      <c r="H191" s="5">
        <v>3526</v>
      </c>
      <c r="I191" t="s">
        <v>438</v>
      </c>
      <c r="J191" s="1">
        <v>2</v>
      </c>
      <c r="K191" s="1" t="s">
        <v>446</v>
      </c>
      <c r="L191">
        <v>64</v>
      </c>
      <c r="M191" t="s">
        <v>442</v>
      </c>
    </row>
    <row r="192" spans="1:13" x14ac:dyDescent="0.25">
      <c r="A192" t="s">
        <v>223</v>
      </c>
      <c r="B192" t="s">
        <v>25</v>
      </c>
      <c r="C192" t="s">
        <v>11</v>
      </c>
      <c r="D192" t="s">
        <v>12</v>
      </c>
      <c r="E192" t="s">
        <v>17</v>
      </c>
      <c r="F192" s="1">
        <v>28</v>
      </c>
      <c r="G192" s="1" t="s">
        <v>450</v>
      </c>
      <c r="H192" s="5">
        <v>17572</v>
      </c>
      <c r="I192" t="s">
        <v>444</v>
      </c>
      <c r="J192" s="1">
        <v>7</v>
      </c>
      <c r="K192" s="1" t="s">
        <v>439</v>
      </c>
      <c r="L192">
        <v>98</v>
      </c>
      <c r="M192" t="s">
        <v>440</v>
      </c>
    </row>
    <row r="193" spans="1:13" x14ac:dyDescent="0.25">
      <c r="A193" t="s">
        <v>224</v>
      </c>
      <c r="B193" t="s">
        <v>44</v>
      </c>
      <c r="C193" t="s">
        <v>26</v>
      </c>
      <c r="D193" t="s">
        <v>29</v>
      </c>
      <c r="E193" t="s">
        <v>17</v>
      </c>
      <c r="F193" s="1">
        <v>64</v>
      </c>
      <c r="G193" s="1" t="s">
        <v>443</v>
      </c>
      <c r="H193" s="5">
        <v>4527</v>
      </c>
      <c r="I193" t="s">
        <v>438</v>
      </c>
      <c r="J193" s="1">
        <v>4</v>
      </c>
      <c r="K193" s="1" t="s">
        <v>447</v>
      </c>
      <c r="L193">
        <v>58</v>
      </c>
      <c r="M193" t="s">
        <v>442</v>
      </c>
    </row>
    <row r="194" spans="1:13" x14ac:dyDescent="0.25">
      <c r="A194" t="s">
        <v>225</v>
      </c>
      <c r="B194" t="s">
        <v>25</v>
      </c>
      <c r="C194" t="s">
        <v>40</v>
      </c>
      <c r="D194" t="s">
        <v>20</v>
      </c>
      <c r="E194" t="s">
        <v>13</v>
      </c>
      <c r="F194" s="1">
        <v>86</v>
      </c>
      <c r="G194" s="1" t="s">
        <v>443</v>
      </c>
      <c r="H194" s="5">
        <v>3401</v>
      </c>
      <c r="I194" t="s">
        <v>438</v>
      </c>
      <c r="J194" s="1">
        <v>1</v>
      </c>
      <c r="K194" s="1" t="s">
        <v>446</v>
      </c>
      <c r="L194">
        <v>75</v>
      </c>
      <c r="M194" t="s">
        <v>440</v>
      </c>
    </row>
    <row r="195" spans="1:13" x14ac:dyDescent="0.25">
      <c r="A195" t="s">
        <v>226</v>
      </c>
      <c r="B195" t="s">
        <v>49</v>
      </c>
      <c r="C195" t="s">
        <v>11</v>
      </c>
      <c r="D195" t="s">
        <v>47</v>
      </c>
      <c r="E195" t="s">
        <v>17</v>
      </c>
      <c r="F195" s="1">
        <v>10</v>
      </c>
      <c r="G195" s="1" t="s">
        <v>448</v>
      </c>
      <c r="H195" s="5">
        <v>19124</v>
      </c>
      <c r="I195" t="s">
        <v>444</v>
      </c>
      <c r="J195" s="1">
        <v>10</v>
      </c>
      <c r="K195" s="1" t="s">
        <v>439</v>
      </c>
      <c r="L195">
        <v>86</v>
      </c>
      <c r="M195" t="s">
        <v>440</v>
      </c>
    </row>
    <row r="196" spans="1:13" x14ac:dyDescent="0.25">
      <c r="A196" t="s">
        <v>227</v>
      </c>
      <c r="B196" t="s">
        <v>25</v>
      </c>
      <c r="C196" t="s">
        <v>23</v>
      </c>
      <c r="D196" t="s">
        <v>47</v>
      </c>
      <c r="E196" t="s">
        <v>17</v>
      </c>
      <c r="F196" s="1">
        <v>52</v>
      </c>
      <c r="G196" s="1" t="s">
        <v>449</v>
      </c>
      <c r="H196" s="5">
        <v>242</v>
      </c>
      <c r="I196" t="s">
        <v>438</v>
      </c>
      <c r="J196" s="1">
        <v>2</v>
      </c>
      <c r="K196" s="1" t="s">
        <v>446</v>
      </c>
      <c r="L196">
        <v>60</v>
      </c>
      <c r="M196" t="s">
        <v>442</v>
      </c>
    </row>
    <row r="197" spans="1:13" x14ac:dyDescent="0.25">
      <c r="A197" t="s">
        <v>228</v>
      </c>
      <c r="B197" t="s">
        <v>49</v>
      </c>
      <c r="C197" t="s">
        <v>23</v>
      </c>
      <c r="D197" t="s">
        <v>29</v>
      </c>
      <c r="E197" t="s">
        <v>17</v>
      </c>
      <c r="F197" s="1">
        <v>14</v>
      </c>
      <c r="G197" s="1" t="s">
        <v>451</v>
      </c>
      <c r="H197" s="5">
        <v>698</v>
      </c>
      <c r="I197" t="s">
        <v>438</v>
      </c>
      <c r="J197" s="1">
        <v>2</v>
      </c>
      <c r="K197" s="1" t="s">
        <v>446</v>
      </c>
      <c r="L197">
        <v>87</v>
      </c>
      <c r="M197" t="s">
        <v>440</v>
      </c>
    </row>
    <row r="198" spans="1:13" x14ac:dyDescent="0.25">
      <c r="A198" t="s">
        <v>229</v>
      </c>
      <c r="B198" t="s">
        <v>25</v>
      </c>
      <c r="C198" t="s">
        <v>11</v>
      </c>
      <c r="D198" t="s">
        <v>47</v>
      </c>
      <c r="E198" t="s">
        <v>13</v>
      </c>
      <c r="F198" s="1">
        <v>44</v>
      </c>
      <c r="G198" s="1" t="s">
        <v>437</v>
      </c>
      <c r="H198" s="5">
        <v>8630</v>
      </c>
      <c r="I198" t="s">
        <v>438</v>
      </c>
      <c r="J198" s="1">
        <v>10</v>
      </c>
      <c r="K198" s="1" t="s">
        <v>439</v>
      </c>
      <c r="L198">
        <v>99</v>
      </c>
      <c r="M198" t="s">
        <v>440</v>
      </c>
    </row>
    <row r="199" spans="1:13" x14ac:dyDescent="0.25">
      <c r="A199" t="s">
        <v>230</v>
      </c>
      <c r="B199" t="s">
        <v>22</v>
      </c>
      <c r="C199" t="s">
        <v>11</v>
      </c>
      <c r="D199" t="s">
        <v>20</v>
      </c>
      <c r="E199" t="s">
        <v>13</v>
      </c>
      <c r="F199" s="1">
        <v>68</v>
      </c>
      <c r="G199" s="1" t="s">
        <v>443</v>
      </c>
      <c r="H199" s="5">
        <v>13355</v>
      </c>
      <c r="I199" t="s">
        <v>444</v>
      </c>
      <c r="J199" s="1">
        <v>8</v>
      </c>
      <c r="K199" s="1" t="s">
        <v>439</v>
      </c>
      <c r="L199">
        <v>99</v>
      </c>
      <c r="M199" t="s">
        <v>440</v>
      </c>
    </row>
    <row r="200" spans="1:13" x14ac:dyDescent="0.25">
      <c r="A200" t="s">
        <v>231</v>
      </c>
      <c r="B200" t="s">
        <v>44</v>
      </c>
      <c r="C200" t="s">
        <v>26</v>
      </c>
      <c r="D200" t="s">
        <v>42</v>
      </c>
      <c r="E200" t="s">
        <v>17</v>
      </c>
      <c r="F200" s="1">
        <v>19</v>
      </c>
      <c r="G200" s="1" t="s">
        <v>451</v>
      </c>
      <c r="H200" s="5">
        <v>3096</v>
      </c>
      <c r="I200" t="s">
        <v>438</v>
      </c>
      <c r="J200" s="1">
        <v>5</v>
      </c>
      <c r="K200" s="1" t="s">
        <v>447</v>
      </c>
      <c r="L200">
        <v>61</v>
      </c>
      <c r="M200" t="s">
        <v>442</v>
      </c>
    </row>
    <row r="201" spans="1:13" x14ac:dyDescent="0.25">
      <c r="A201" t="s">
        <v>232</v>
      </c>
      <c r="B201" t="s">
        <v>19</v>
      </c>
      <c r="C201" t="s">
        <v>40</v>
      </c>
      <c r="D201" t="s">
        <v>31</v>
      </c>
      <c r="E201" t="s">
        <v>17</v>
      </c>
      <c r="F201" s="1">
        <v>81</v>
      </c>
      <c r="G201" s="1" t="s">
        <v>443</v>
      </c>
      <c r="H201" s="5">
        <v>4547</v>
      </c>
      <c r="I201" t="s">
        <v>438</v>
      </c>
      <c r="J201" s="1">
        <v>4</v>
      </c>
      <c r="K201" s="1" t="s">
        <v>447</v>
      </c>
      <c r="L201">
        <v>98</v>
      </c>
      <c r="M201" t="s">
        <v>440</v>
      </c>
    </row>
    <row r="202" spans="1:13" x14ac:dyDescent="0.25">
      <c r="A202" t="s">
        <v>233</v>
      </c>
      <c r="B202" t="s">
        <v>19</v>
      </c>
      <c r="C202" t="s">
        <v>23</v>
      </c>
      <c r="D202" t="s">
        <v>16</v>
      </c>
      <c r="E202" t="s">
        <v>13</v>
      </c>
      <c r="F202" s="1">
        <v>80</v>
      </c>
      <c r="G202" s="1" t="s">
        <v>443</v>
      </c>
      <c r="H202" s="5">
        <v>861</v>
      </c>
      <c r="I202" t="s">
        <v>438</v>
      </c>
      <c r="J202" s="1">
        <v>3</v>
      </c>
      <c r="K202" s="1" t="s">
        <v>447</v>
      </c>
      <c r="L202">
        <v>70</v>
      </c>
      <c r="M202" t="s">
        <v>440</v>
      </c>
    </row>
    <row r="203" spans="1:13" x14ac:dyDescent="0.25">
      <c r="A203" t="s">
        <v>234</v>
      </c>
      <c r="B203" t="s">
        <v>22</v>
      </c>
      <c r="C203" t="s">
        <v>23</v>
      </c>
      <c r="D203" t="s">
        <v>31</v>
      </c>
      <c r="E203" t="s">
        <v>17</v>
      </c>
      <c r="F203" s="1">
        <v>81</v>
      </c>
      <c r="G203" s="1" t="s">
        <v>443</v>
      </c>
      <c r="H203" s="5">
        <v>820</v>
      </c>
      <c r="I203" t="s">
        <v>438</v>
      </c>
      <c r="J203" s="1">
        <v>2</v>
      </c>
      <c r="K203" s="1" t="s">
        <v>446</v>
      </c>
      <c r="L203">
        <v>87</v>
      </c>
      <c r="M203" t="s">
        <v>440</v>
      </c>
    </row>
    <row r="204" spans="1:13" x14ac:dyDescent="0.25">
      <c r="A204" t="s">
        <v>235</v>
      </c>
      <c r="B204" t="s">
        <v>15</v>
      </c>
      <c r="C204" t="s">
        <v>26</v>
      </c>
      <c r="D204" t="s">
        <v>20</v>
      </c>
      <c r="E204" t="s">
        <v>17</v>
      </c>
      <c r="F204" s="1">
        <v>60</v>
      </c>
      <c r="G204" s="1" t="s">
        <v>449</v>
      </c>
      <c r="H204" s="5">
        <v>4702</v>
      </c>
      <c r="I204" t="s">
        <v>438</v>
      </c>
      <c r="J204" s="1">
        <v>2</v>
      </c>
      <c r="K204" s="1" t="s">
        <v>446</v>
      </c>
      <c r="L204">
        <v>53</v>
      </c>
      <c r="M204" t="s">
        <v>442</v>
      </c>
    </row>
    <row r="205" spans="1:13" x14ac:dyDescent="0.25">
      <c r="A205" t="s">
        <v>236</v>
      </c>
      <c r="B205" t="s">
        <v>44</v>
      </c>
      <c r="C205" t="s">
        <v>26</v>
      </c>
      <c r="D205" t="s">
        <v>31</v>
      </c>
      <c r="E205" t="s">
        <v>13</v>
      </c>
      <c r="F205" s="1">
        <v>12</v>
      </c>
      <c r="G205" s="1" t="s">
        <v>448</v>
      </c>
      <c r="H205" s="5">
        <v>6038</v>
      </c>
      <c r="I205" t="s">
        <v>438</v>
      </c>
      <c r="J205" s="1">
        <v>10</v>
      </c>
      <c r="K205" s="1" t="s">
        <v>439</v>
      </c>
      <c r="L205">
        <v>74</v>
      </c>
      <c r="M205" t="s">
        <v>440</v>
      </c>
    </row>
    <row r="206" spans="1:13" x14ac:dyDescent="0.25">
      <c r="A206" t="s">
        <v>237</v>
      </c>
      <c r="B206" t="s">
        <v>25</v>
      </c>
      <c r="C206" t="s">
        <v>11</v>
      </c>
      <c r="D206" t="s">
        <v>34</v>
      </c>
      <c r="E206" t="s">
        <v>13</v>
      </c>
      <c r="F206" s="1">
        <v>74</v>
      </c>
      <c r="G206" s="1" t="s">
        <v>443</v>
      </c>
      <c r="H206" s="5">
        <v>15679</v>
      </c>
      <c r="I206" t="s">
        <v>444</v>
      </c>
      <c r="J206" s="1">
        <v>8</v>
      </c>
      <c r="K206" s="1" t="s">
        <v>439</v>
      </c>
      <c r="L206">
        <v>70</v>
      </c>
      <c r="M206" t="s">
        <v>440</v>
      </c>
    </row>
    <row r="207" spans="1:13" x14ac:dyDescent="0.25">
      <c r="A207" t="s">
        <v>238</v>
      </c>
      <c r="B207" t="s">
        <v>19</v>
      </c>
      <c r="C207" t="s">
        <v>23</v>
      </c>
      <c r="D207" t="s">
        <v>20</v>
      </c>
      <c r="E207" t="s">
        <v>17</v>
      </c>
      <c r="F207" s="1">
        <v>8</v>
      </c>
      <c r="G207" s="1" t="s">
        <v>448</v>
      </c>
      <c r="H207" s="5">
        <v>1122</v>
      </c>
      <c r="I207" t="s">
        <v>438</v>
      </c>
      <c r="J207" s="1">
        <v>1</v>
      </c>
      <c r="K207" s="1" t="s">
        <v>446</v>
      </c>
      <c r="L207">
        <v>71</v>
      </c>
      <c r="M207" t="s">
        <v>440</v>
      </c>
    </row>
    <row r="208" spans="1:13" x14ac:dyDescent="0.25">
      <c r="A208" t="s">
        <v>239</v>
      </c>
      <c r="B208" t="s">
        <v>10</v>
      </c>
      <c r="C208" t="s">
        <v>11</v>
      </c>
      <c r="D208" t="s">
        <v>20</v>
      </c>
      <c r="E208" t="s">
        <v>13</v>
      </c>
      <c r="F208" s="1">
        <v>6</v>
      </c>
      <c r="G208" s="1" t="s">
        <v>448</v>
      </c>
      <c r="H208" s="5">
        <v>9059</v>
      </c>
      <c r="I208" t="s">
        <v>438</v>
      </c>
      <c r="J208" s="1">
        <v>12</v>
      </c>
      <c r="K208" s="1" t="s">
        <v>445</v>
      </c>
      <c r="L208">
        <v>78</v>
      </c>
      <c r="M208" t="s">
        <v>440</v>
      </c>
    </row>
    <row r="209" spans="1:13" x14ac:dyDescent="0.25">
      <c r="A209" t="s">
        <v>240</v>
      </c>
      <c r="B209" t="s">
        <v>19</v>
      </c>
      <c r="C209" t="s">
        <v>40</v>
      </c>
      <c r="D209" t="s">
        <v>29</v>
      </c>
      <c r="E209" t="s">
        <v>17</v>
      </c>
      <c r="F209" s="1">
        <v>37</v>
      </c>
      <c r="G209" s="1" t="s">
        <v>437</v>
      </c>
      <c r="H209" s="5">
        <v>3673</v>
      </c>
      <c r="I209" t="s">
        <v>438</v>
      </c>
      <c r="J209" s="1">
        <v>4</v>
      </c>
      <c r="K209" s="1" t="s">
        <v>447</v>
      </c>
      <c r="L209">
        <v>99</v>
      </c>
      <c r="M209" t="s">
        <v>440</v>
      </c>
    </row>
    <row r="210" spans="1:13" x14ac:dyDescent="0.25">
      <c r="A210" t="s">
        <v>241</v>
      </c>
      <c r="B210" t="s">
        <v>44</v>
      </c>
      <c r="C210" t="s">
        <v>11</v>
      </c>
      <c r="D210" t="s">
        <v>29</v>
      </c>
      <c r="E210" t="s">
        <v>17</v>
      </c>
      <c r="F210" s="1">
        <v>13</v>
      </c>
      <c r="G210" s="1" t="s">
        <v>451</v>
      </c>
      <c r="H210" s="5">
        <v>14141</v>
      </c>
      <c r="I210" t="s">
        <v>444</v>
      </c>
      <c r="J210" s="1">
        <v>15</v>
      </c>
      <c r="K210" s="1" t="s">
        <v>445</v>
      </c>
      <c r="L210">
        <v>74</v>
      </c>
      <c r="M210" t="s">
        <v>440</v>
      </c>
    </row>
    <row r="211" spans="1:13" x14ac:dyDescent="0.25">
      <c r="A211" t="s">
        <v>242</v>
      </c>
      <c r="B211" t="s">
        <v>44</v>
      </c>
      <c r="C211" t="s">
        <v>26</v>
      </c>
      <c r="D211" t="s">
        <v>16</v>
      </c>
      <c r="E211" t="s">
        <v>13</v>
      </c>
      <c r="F211" s="1">
        <v>43</v>
      </c>
      <c r="G211" s="1" t="s">
        <v>437</v>
      </c>
      <c r="H211" s="5">
        <v>1667</v>
      </c>
      <c r="I211" t="s">
        <v>438</v>
      </c>
      <c r="J211" s="1">
        <v>4</v>
      </c>
      <c r="K211" s="1" t="s">
        <v>447</v>
      </c>
      <c r="L211">
        <v>72</v>
      </c>
      <c r="M211" t="s">
        <v>440</v>
      </c>
    </row>
    <row r="212" spans="1:13" x14ac:dyDescent="0.25">
      <c r="A212" t="s">
        <v>243</v>
      </c>
      <c r="B212" t="s">
        <v>44</v>
      </c>
      <c r="C212" t="s">
        <v>23</v>
      </c>
      <c r="D212" t="s">
        <v>42</v>
      </c>
      <c r="E212" t="s">
        <v>13</v>
      </c>
      <c r="F212" s="1">
        <v>11</v>
      </c>
      <c r="G212" s="1" t="s">
        <v>448</v>
      </c>
      <c r="H212" s="5">
        <v>834</v>
      </c>
      <c r="I212" t="s">
        <v>438</v>
      </c>
      <c r="J212" s="1">
        <v>3</v>
      </c>
      <c r="K212" s="1" t="s">
        <v>447</v>
      </c>
      <c r="L212">
        <v>74</v>
      </c>
      <c r="M212" t="s">
        <v>440</v>
      </c>
    </row>
    <row r="213" spans="1:13" x14ac:dyDescent="0.25">
      <c r="A213" t="s">
        <v>244</v>
      </c>
      <c r="B213" t="s">
        <v>10</v>
      </c>
      <c r="C213" t="s">
        <v>26</v>
      </c>
      <c r="D213" t="s">
        <v>42</v>
      </c>
      <c r="E213" t="s">
        <v>13</v>
      </c>
      <c r="F213" s="1">
        <v>88</v>
      </c>
      <c r="G213" s="1" t="s">
        <v>443</v>
      </c>
      <c r="H213" s="5">
        <v>5312</v>
      </c>
      <c r="I213" t="s">
        <v>438</v>
      </c>
      <c r="J213" s="1">
        <v>3</v>
      </c>
      <c r="K213" s="1" t="s">
        <v>447</v>
      </c>
      <c r="L213">
        <v>91</v>
      </c>
      <c r="M213" t="s">
        <v>440</v>
      </c>
    </row>
    <row r="214" spans="1:13" x14ac:dyDescent="0.25">
      <c r="A214" t="s">
        <v>245</v>
      </c>
      <c r="B214" t="s">
        <v>10</v>
      </c>
      <c r="C214" t="s">
        <v>23</v>
      </c>
      <c r="D214" t="s">
        <v>20</v>
      </c>
      <c r="E214" t="s">
        <v>17</v>
      </c>
      <c r="F214" s="1">
        <v>47</v>
      </c>
      <c r="G214" s="1" t="s">
        <v>449</v>
      </c>
      <c r="H214" s="5">
        <v>832</v>
      </c>
      <c r="I214" t="s">
        <v>438</v>
      </c>
      <c r="J214" s="1">
        <v>1</v>
      </c>
      <c r="K214" s="1" t="s">
        <v>446</v>
      </c>
      <c r="L214">
        <v>63</v>
      </c>
      <c r="M214" t="s">
        <v>442</v>
      </c>
    </row>
    <row r="215" spans="1:13" x14ac:dyDescent="0.25">
      <c r="A215" t="s">
        <v>246</v>
      </c>
      <c r="B215" t="s">
        <v>44</v>
      </c>
      <c r="C215" t="s">
        <v>23</v>
      </c>
      <c r="D215" t="s">
        <v>60</v>
      </c>
      <c r="E215" t="s">
        <v>17</v>
      </c>
      <c r="F215" s="1">
        <v>18</v>
      </c>
      <c r="G215" s="1" t="s">
        <v>451</v>
      </c>
      <c r="H215" s="5">
        <v>517</v>
      </c>
      <c r="I215" t="s">
        <v>438</v>
      </c>
      <c r="J215" s="1">
        <v>1</v>
      </c>
      <c r="K215" s="1" t="s">
        <v>446</v>
      </c>
      <c r="L215">
        <v>68</v>
      </c>
      <c r="M215" t="s">
        <v>440</v>
      </c>
    </row>
    <row r="216" spans="1:13" x14ac:dyDescent="0.25">
      <c r="A216" t="s">
        <v>247</v>
      </c>
      <c r="B216" t="s">
        <v>49</v>
      </c>
      <c r="C216" t="s">
        <v>11</v>
      </c>
      <c r="D216" t="s">
        <v>20</v>
      </c>
      <c r="E216" t="s">
        <v>13</v>
      </c>
      <c r="F216" s="1">
        <v>68</v>
      </c>
      <c r="G216" s="1" t="s">
        <v>443</v>
      </c>
      <c r="H216" s="5">
        <v>5618</v>
      </c>
      <c r="I216" t="s">
        <v>438</v>
      </c>
      <c r="J216" s="1">
        <v>15</v>
      </c>
      <c r="K216" s="1" t="s">
        <v>445</v>
      </c>
      <c r="L216">
        <v>71</v>
      </c>
      <c r="M216" t="s">
        <v>440</v>
      </c>
    </row>
    <row r="217" spans="1:13" x14ac:dyDescent="0.25">
      <c r="A217" t="s">
        <v>248</v>
      </c>
      <c r="B217" t="s">
        <v>49</v>
      </c>
      <c r="C217" t="s">
        <v>40</v>
      </c>
      <c r="D217" t="s">
        <v>16</v>
      </c>
      <c r="E217" t="s">
        <v>17</v>
      </c>
      <c r="F217" s="1">
        <v>21</v>
      </c>
      <c r="G217" s="1" t="s">
        <v>450</v>
      </c>
      <c r="H217" s="5">
        <v>1981</v>
      </c>
      <c r="I217" t="s">
        <v>438</v>
      </c>
      <c r="J217" s="1">
        <v>5</v>
      </c>
      <c r="K217" s="1" t="s">
        <v>447</v>
      </c>
      <c r="L217">
        <v>60</v>
      </c>
      <c r="M217" t="s">
        <v>442</v>
      </c>
    </row>
    <row r="218" spans="1:13" x14ac:dyDescent="0.25">
      <c r="A218" t="s">
        <v>249</v>
      </c>
      <c r="B218" t="s">
        <v>10</v>
      </c>
      <c r="C218" t="s">
        <v>23</v>
      </c>
      <c r="D218" t="s">
        <v>12</v>
      </c>
      <c r="E218" t="s">
        <v>17</v>
      </c>
      <c r="F218" s="1">
        <v>87</v>
      </c>
      <c r="G218" s="1" t="s">
        <v>443</v>
      </c>
      <c r="H218" s="5">
        <v>1673</v>
      </c>
      <c r="I218" t="s">
        <v>438</v>
      </c>
      <c r="J218" s="1">
        <v>1</v>
      </c>
      <c r="K218" s="1" t="s">
        <v>446</v>
      </c>
      <c r="L218">
        <v>78</v>
      </c>
      <c r="M218" t="s">
        <v>440</v>
      </c>
    </row>
    <row r="219" spans="1:13" x14ac:dyDescent="0.25">
      <c r="A219" t="s">
        <v>250</v>
      </c>
      <c r="B219" t="s">
        <v>19</v>
      </c>
      <c r="C219" t="s">
        <v>26</v>
      </c>
      <c r="D219" t="s">
        <v>34</v>
      </c>
      <c r="E219" t="s">
        <v>17</v>
      </c>
      <c r="F219" s="1">
        <v>31</v>
      </c>
      <c r="G219" s="1" t="s">
        <v>437</v>
      </c>
      <c r="H219" s="5">
        <v>3535</v>
      </c>
      <c r="I219" t="s">
        <v>438</v>
      </c>
      <c r="J219" s="1">
        <v>9</v>
      </c>
      <c r="K219" s="1" t="s">
        <v>439</v>
      </c>
      <c r="L219">
        <v>62</v>
      </c>
      <c r="M219" t="s">
        <v>442</v>
      </c>
    </row>
    <row r="220" spans="1:13" x14ac:dyDescent="0.25">
      <c r="A220" t="s">
        <v>251</v>
      </c>
      <c r="B220" t="s">
        <v>44</v>
      </c>
      <c r="C220" t="s">
        <v>23</v>
      </c>
      <c r="D220" t="s">
        <v>34</v>
      </c>
      <c r="E220" t="s">
        <v>13</v>
      </c>
      <c r="F220" s="1">
        <v>49</v>
      </c>
      <c r="G220" s="1" t="s">
        <v>449</v>
      </c>
      <c r="H220" s="5">
        <v>1229</v>
      </c>
      <c r="I220" t="s">
        <v>438</v>
      </c>
      <c r="J220" s="1">
        <v>3</v>
      </c>
      <c r="K220" s="1" t="s">
        <v>447</v>
      </c>
      <c r="L220">
        <v>76</v>
      </c>
      <c r="M220" t="s">
        <v>440</v>
      </c>
    </row>
    <row r="221" spans="1:13" x14ac:dyDescent="0.25">
      <c r="A221" t="s">
        <v>252</v>
      </c>
      <c r="B221" t="s">
        <v>22</v>
      </c>
      <c r="C221" t="s">
        <v>40</v>
      </c>
      <c r="D221" t="s">
        <v>16</v>
      </c>
      <c r="E221" t="s">
        <v>17</v>
      </c>
      <c r="F221" s="1">
        <v>33</v>
      </c>
      <c r="G221" s="1" t="s">
        <v>437</v>
      </c>
      <c r="H221" s="5">
        <v>927</v>
      </c>
      <c r="I221" t="s">
        <v>438</v>
      </c>
      <c r="J221" s="1">
        <v>4</v>
      </c>
      <c r="K221" s="1" t="s">
        <v>447</v>
      </c>
      <c r="L221">
        <v>73</v>
      </c>
      <c r="M221" t="s">
        <v>440</v>
      </c>
    </row>
    <row r="222" spans="1:13" x14ac:dyDescent="0.25">
      <c r="A222" t="s">
        <v>253</v>
      </c>
      <c r="B222" t="s">
        <v>19</v>
      </c>
      <c r="C222" t="s">
        <v>11</v>
      </c>
      <c r="D222" t="s">
        <v>20</v>
      </c>
      <c r="E222" t="s">
        <v>13</v>
      </c>
      <c r="F222" s="1">
        <v>37</v>
      </c>
      <c r="G222" s="1" t="s">
        <v>437</v>
      </c>
      <c r="H222" s="5">
        <v>6374</v>
      </c>
      <c r="I222" t="s">
        <v>438</v>
      </c>
      <c r="J222" s="1">
        <v>7</v>
      </c>
      <c r="K222" s="1" t="s">
        <v>439</v>
      </c>
      <c r="L222">
        <v>67</v>
      </c>
      <c r="M222" t="s">
        <v>440</v>
      </c>
    </row>
    <row r="223" spans="1:13" x14ac:dyDescent="0.25">
      <c r="A223" t="s">
        <v>254</v>
      </c>
      <c r="B223" t="s">
        <v>25</v>
      </c>
      <c r="C223" t="s">
        <v>40</v>
      </c>
      <c r="D223" t="s">
        <v>47</v>
      </c>
      <c r="E223" t="s">
        <v>17</v>
      </c>
      <c r="F223" s="1">
        <v>29</v>
      </c>
      <c r="G223" s="1" t="s">
        <v>450</v>
      </c>
      <c r="H223" s="5">
        <v>4195</v>
      </c>
      <c r="I223" t="s">
        <v>438</v>
      </c>
      <c r="J223" s="1">
        <v>3</v>
      </c>
      <c r="K223" s="1" t="s">
        <v>447</v>
      </c>
      <c r="L223">
        <v>51</v>
      </c>
      <c r="M223" t="s">
        <v>442</v>
      </c>
    </row>
    <row r="224" spans="1:13" x14ac:dyDescent="0.25">
      <c r="A224" t="s">
        <v>255</v>
      </c>
      <c r="B224" t="s">
        <v>25</v>
      </c>
      <c r="C224" t="s">
        <v>11</v>
      </c>
      <c r="D224" t="s">
        <v>47</v>
      </c>
      <c r="E224" t="s">
        <v>13</v>
      </c>
      <c r="F224" s="1">
        <v>31</v>
      </c>
      <c r="G224" s="1" t="s">
        <v>437</v>
      </c>
      <c r="H224" s="5">
        <v>11326</v>
      </c>
      <c r="I224" t="s">
        <v>444</v>
      </c>
      <c r="J224" s="1">
        <v>6</v>
      </c>
      <c r="K224" s="1" t="s">
        <v>439</v>
      </c>
      <c r="L224">
        <v>73</v>
      </c>
      <c r="M224" t="s">
        <v>440</v>
      </c>
    </row>
    <row r="225" spans="1:13" x14ac:dyDescent="0.25">
      <c r="A225" t="s">
        <v>256</v>
      </c>
      <c r="B225" t="s">
        <v>22</v>
      </c>
      <c r="C225" t="s">
        <v>11</v>
      </c>
      <c r="D225" t="s">
        <v>29</v>
      </c>
      <c r="E225" t="s">
        <v>13</v>
      </c>
      <c r="F225" s="1">
        <v>84</v>
      </c>
      <c r="G225" s="1" t="s">
        <v>443</v>
      </c>
      <c r="H225" s="5">
        <v>10493</v>
      </c>
      <c r="I225" t="s">
        <v>444</v>
      </c>
      <c r="J225" s="1">
        <v>7</v>
      </c>
      <c r="K225" s="1" t="s">
        <v>439</v>
      </c>
      <c r="L225">
        <v>58</v>
      </c>
      <c r="M225" t="s">
        <v>442</v>
      </c>
    </row>
    <row r="226" spans="1:13" x14ac:dyDescent="0.25">
      <c r="A226" t="s">
        <v>257</v>
      </c>
      <c r="B226" t="s">
        <v>15</v>
      </c>
      <c r="C226" t="s">
        <v>26</v>
      </c>
      <c r="D226" t="s">
        <v>34</v>
      </c>
      <c r="E226" t="s">
        <v>13</v>
      </c>
      <c r="F226" s="1">
        <v>18</v>
      </c>
      <c r="G226" s="1" t="s">
        <v>451</v>
      </c>
      <c r="H226" s="5">
        <v>6779</v>
      </c>
      <c r="I226" t="s">
        <v>438</v>
      </c>
      <c r="J226" s="1">
        <v>9</v>
      </c>
      <c r="K226" s="1" t="s">
        <v>439</v>
      </c>
      <c r="L226">
        <v>78</v>
      </c>
      <c r="M226" t="s">
        <v>440</v>
      </c>
    </row>
    <row r="227" spans="1:13" x14ac:dyDescent="0.25">
      <c r="A227" t="s">
        <v>258</v>
      </c>
      <c r="B227" t="s">
        <v>19</v>
      </c>
      <c r="C227" t="s">
        <v>11</v>
      </c>
      <c r="D227" t="s">
        <v>31</v>
      </c>
      <c r="E227" t="s">
        <v>17</v>
      </c>
      <c r="F227" s="1">
        <v>28</v>
      </c>
      <c r="G227" s="1" t="s">
        <v>450</v>
      </c>
      <c r="H227" s="5">
        <v>18680</v>
      </c>
      <c r="I227" t="s">
        <v>444</v>
      </c>
      <c r="J227" s="1">
        <v>7</v>
      </c>
      <c r="K227" s="1" t="s">
        <v>439</v>
      </c>
      <c r="L227">
        <v>85</v>
      </c>
      <c r="M227" t="s">
        <v>440</v>
      </c>
    </row>
    <row r="228" spans="1:13" x14ac:dyDescent="0.25">
      <c r="A228" t="s">
        <v>259</v>
      </c>
      <c r="B228" t="s">
        <v>10</v>
      </c>
      <c r="C228" t="s">
        <v>23</v>
      </c>
      <c r="D228" t="s">
        <v>31</v>
      </c>
      <c r="E228" t="s">
        <v>13</v>
      </c>
      <c r="F228" s="1">
        <v>31</v>
      </c>
      <c r="G228" s="1" t="s">
        <v>437</v>
      </c>
      <c r="H228" s="5">
        <v>816</v>
      </c>
      <c r="I228" t="s">
        <v>438</v>
      </c>
      <c r="J228" s="1">
        <v>1</v>
      </c>
      <c r="K228" s="1" t="s">
        <v>446</v>
      </c>
      <c r="L228">
        <v>53</v>
      </c>
      <c r="M228" t="s">
        <v>442</v>
      </c>
    </row>
    <row r="229" spans="1:13" x14ac:dyDescent="0.25">
      <c r="A229" t="s">
        <v>260</v>
      </c>
      <c r="B229" t="s">
        <v>22</v>
      </c>
      <c r="C229" t="s">
        <v>23</v>
      </c>
      <c r="D229" t="s">
        <v>16</v>
      </c>
      <c r="E229" t="s">
        <v>17</v>
      </c>
      <c r="F229" s="1">
        <v>15</v>
      </c>
      <c r="G229" s="1" t="s">
        <v>451</v>
      </c>
      <c r="H229" s="5">
        <v>1913</v>
      </c>
      <c r="I229" t="s">
        <v>438</v>
      </c>
      <c r="J229" s="1">
        <v>2</v>
      </c>
      <c r="K229" s="1" t="s">
        <v>446</v>
      </c>
      <c r="L229">
        <v>88</v>
      </c>
      <c r="M229" t="s">
        <v>440</v>
      </c>
    </row>
    <row r="230" spans="1:13" x14ac:dyDescent="0.25">
      <c r="A230" t="s">
        <v>261</v>
      </c>
      <c r="B230" t="s">
        <v>19</v>
      </c>
      <c r="C230" t="s">
        <v>11</v>
      </c>
      <c r="D230" t="s">
        <v>20</v>
      </c>
      <c r="E230" t="s">
        <v>13</v>
      </c>
      <c r="F230" s="1">
        <v>19</v>
      </c>
      <c r="G230" s="1" t="s">
        <v>451</v>
      </c>
      <c r="H230" s="5">
        <v>9772</v>
      </c>
      <c r="I230" t="s">
        <v>438</v>
      </c>
      <c r="J230" s="1">
        <v>11</v>
      </c>
      <c r="K230" s="1" t="s">
        <v>445</v>
      </c>
      <c r="L230">
        <v>50</v>
      </c>
      <c r="M230" t="s">
        <v>442</v>
      </c>
    </row>
    <row r="231" spans="1:13" x14ac:dyDescent="0.25">
      <c r="A231" t="s">
        <v>262</v>
      </c>
      <c r="B231" t="s">
        <v>19</v>
      </c>
      <c r="C231" t="s">
        <v>26</v>
      </c>
      <c r="D231" t="s">
        <v>60</v>
      </c>
      <c r="E231" t="s">
        <v>13</v>
      </c>
      <c r="F231" s="1">
        <v>24</v>
      </c>
      <c r="G231" s="1" t="s">
        <v>450</v>
      </c>
      <c r="H231" s="5">
        <v>6442</v>
      </c>
      <c r="I231" t="s">
        <v>438</v>
      </c>
      <c r="J231" s="1">
        <v>3</v>
      </c>
      <c r="K231" s="1" t="s">
        <v>447</v>
      </c>
      <c r="L231">
        <v>83</v>
      </c>
      <c r="M231" t="s">
        <v>440</v>
      </c>
    </row>
    <row r="232" spans="1:13" x14ac:dyDescent="0.25">
      <c r="A232" t="s">
        <v>263</v>
      </c>
      <c r="B232" t="s">
        <v>44</v>
      </c>
      <c r="C232" t="s">
        <v>11</v>
      </c>
      <c r="D232" t="s">
        <v>20</v>
      </c>
      <c r="E232" t="s">
        <v>13</v>
      </c>
      <c r="F232" s="1">
        <v>65</v>
      </c>
      <c r="G232" s="1" t="s">
        <v>443</v>
      </c>
      <c r="H232" s="5">
        <v>14079</v>
      </c>
      <c r="I232" t="s">
        <v>444</v>
      </c>
      <c r="J232" s="1">
        <v>5</v>
      </c>
      <c r="K232" s="1" t="s">
        <v>447</v>
      </c>
      <c r="L232">
        <v>74</v>
      </c>
      <c r="M232" t="s">
        <v>440</v>
      </c>
    </row>
    <row r="233" spans="1:13" x14ac:dyDescent="0.25">
      <c r="A233" t="s">
        <v>264</v>
      </c>
      <c r="B233" t="s">
        <v>49</v>
      </c>
      <c r="C233" t="s">
        <v>23</v>
      </c>
      <c r="D233" t="s">
        <v>12</v>
      </c>
      <c r="E233" t="s">
        <v>13</v>
      </c>
      <c r="F233" s="1">
        <v>48</v>
      </c>
      <c r="G233" s="1" t="s">
        <v>449</v>
      </c>
      <c r="H233" s="5">
        <v>719</v>
      </c>
      <c r="I233" t="s">
        <v>438</v>
      </c>
      <c r="J233" s="1">
        <v>3</v>
      </c>
      <c r="K233" s="1" t="s">
        <v>447</v>
      </c>
      <c r="L233">
        <v>51</v>
      </c>
      <c r="M233" t="s">
        <v>442</v>
      </c>
    </row>
    <row r="234" spans="1:13" x14ac:dyDescent="0.25">
      <c r="A234" t="s">
        <v>265</v>
      </c>
      <c r="B234" t="s">
        <v>44</v>
      </c>
      <c r="C234" t="s">
        <v>11</v>
      </c>
      <c r="D234" t="s">
        <v>29</v>
      </c>
      <c r="E234" t="s">
        <v>17</v>
      </c>
      <c r="F234" s="1">
        <v>85</v>
      </c>
      <c r="G234" s="1" t="s">
        <v>443</v>
      </c>
      <c r="H234" s="5">
        <v>15293</v>
      </c>
      <c r="I234" t="s">
        <v>444</v>
      </c>
      <c r="J234" s="1">
        <v>6</v>
      </c>
      <c r="K234" s="1" t="s">
        <v>439</v>
      </c>
      <c r="L234">
        <v>99</v>
      </c>
      <c r="M234" t="s">
        <v>440</v>
      </c>
    </row>
    <row r="235" spans="1:13" x14ac:dyDescent="0.25">
      <c r="A235" t="s">
        <v>266</v>
      </c>
      <c r="B235" t="s">
        <v>19</v>
      </c>
      <c r="C235" t="s">
        <v>26</v>
      </c>
      <c r="D235" t="s">
        <v>42</v>
      </c>
      <c r="E235" t="s">
        <v>17</v>
      </c>
      <c r="F235" s="1">
        <v>70</v>
      </c>
      <c r="G235" s="1" t="s">
        <v>443</v>
      </c>
      <c r="H235" s="5">
        <v>3773</v>
      </c>
      <c r="I235" t="s">
        <v>438</v>
      </c>
      <c r="J235" s="1">
        <v>4</v>
      </c>
      <c r="K235" s="1" t="s">
        <v>447</v>
      </c>
      <c r="L235">
        <v>99</v>
      </c>
      <c r="M235" t="s">
        <v>440</v>
      </c>
    </row>
    <row r="236" spans="1:13" x14ac:dyDescent="0.25">
      <c r="A236" t="s">
        <v>267</v>
      </c>
      <c r="B236" t="s">
        <v>10</v>
      </c>
      <c r="C236" t="s">
        <v>23</v>
      </c>
      <c r="D236" t="s">
        <v>34</v>
      </c>
      <c r="E236" t="s">
        <v>13</v>
      </c>
      <c r="F236" s="1">
        <v>18</v>
      </c>
      <c r="G236" s="1" t="s">
        <v>451</v>
      </c>
      <c r="H236" s="5">
        <v>329</v>
      </c>
      <c r="I236" t="s">
        <v>438</v>
      </c>
      <c r="J236" s="1">
        <v>3</v>
      </c>
      <c r="K236" s="1" t="s">
        <v>447</v>
      </c>
      <c r="L236">
        <v>99</v>
      </c>
      <c r="M236" t="s">
        <v>440</v>
      </c>
    </row>
    <row r="237" spans="1:13" x14ac:dyDescent="0.25">
      <c r="A237" t="s">
        <v>268</v>
      </c>
      <c r="B237" t="s">
        <v>25</v>
      </c>
      <c r="C237" t="s">
        <v>11</v>
      </c>
      <c r="D237" t="s">
        <v>27</v>
      </c>
      <c r="E237" t="s">
        <v>17</v>
      </c>
      <c r="F237" s="1">
        <v>26</v>
      </c>
      <c r="G237" s="1" t="s">
        <v>450</v>
      </c>
      <c r="H237" s="5">
        <v>19512</v>
      </c>
      <c r="I237" t="s">
        <v>444</v>
      </c>
      <c r="J237" s="1">
        <v>5</v>
      </c>
      <c r="K237" s="1" t="s">
        <v>447</v>
      </c>
      <c r="L237">
        <v>70</v>
      </c>
      <c r="M237" t="s">
        <v>440</v>
      </c>
    </row>
    <row r="238" spans="1:13" x14ac:dyDescent="0.25">
      <c r="A238" t="s">
        <v>269</v>
      </c>
      <c r="B238" t="s">
        <v>44</v>
      </c>
      <c r="C238" t="s">
        <v>23</v>
      </c>
      <c r="D238" t="s">
        <v>20</v>
      </c>
      <c r="E238" t="s">
        <v>17</v>
      </c>
      <c r="F238" s="1">
        <v>5</v>
      </c>
      <c r="G238" s="1" t="s">
        <v>441</v>
      </c>
      <c r="H238" s="5">
        <v>1742</v>
      </c>
      <c r="I238" t="s">
        <v>438</v>
      </c>
      <c r="J238" s="1">
        <v>3</v>
      </c>
      <c r="K238" s="1" t="s">
        <v>447</v>
      </c>
      <c r="L238">
        <v>62</v>
      </c>
      <c r="M238" t="s">
        <v>442</v>
      </c>
    </row>
    <row r="239" spans="1:13" x14ac:dyDescent="0.25">
      <c r="A239" t="s">
        <v>270</v>
      </c>
      <c r="B239" t="s">
        <v>44</v>
      </c>
      <c r="C239" t="s">
        <v>26</v>
      </c>
      <c r="D239" t="s">
        <v>12</v>
      </c>
      <c r="E239" t="s">
        <v>13</v>
      </c>
      <c r="F239" s="1">
        <v>43</v>
      </c>
      <c r="G239" s="1" t="s">
        <v>437</v>
      </c>
      <c r="H239" s="5">
        <v>3238</v>
      </c>
      <c r="I239" t="s">
        <v>438</v>
      </c>
      <c r="J239" s="1">
        <v>3</v>
      </c>
      <c r="K239" s="1" t="s">
        <v>447</v>
      </c>
      <c r="L239">
        <v>73</v>
      </c>
      <c r="M239" t="s">
        <v>440</v>
      </c>
    </row>
    <row r="240" spans="1:13" x14ac:dyDescent="0.25">
      <c r="A240" t="s">
        <v>271</v>
      </c>
      <c r="B240" t="s">
        <v>25</v>
      </c>
      <c r="C240" t="s">
        <v>23</v>
      </c>
      <c r="D240" t="s">
        <v>34</v>
      </c>
      <c r="E240" t="s">
        <v>13</v>
      </c>
      <c r="F240" s="1">
        <v>50</v>
      </c>
      <c r="G240" s="1" t="s">
        <v>449</v>
      </c>
      <c r="H240" s="5">
        <v>894</v>
      </c>
      <c r="I240" t="s">
        <v>438</v>
      </c>
      <c r="J240" s="1">
        <v>1</v>
      </c>
      <c r="K240" s="1" t="s">
        <v>446</v>
      </c>
      <c r="L240">
        <v>81</v>
      </c>
      <c r="M240" t="s">
        <v>440</v>
      </c>
    </row>
    <row r="241" spans="1:13" x14ac:dyDescent="0.25">
      <c r="A241" t="s">
        <v>272</v>
      </c>
      <c r="B241" t="s">
        <v>10</v>
      </c>
      <c r="C241" t="s">
        <v>23</v>
      </c>
      <c r="D241" t="s">
        <v>29</v>
      </c>
      <c r="E241" t="s">
        <v>13</v>
      </c>
      <c r="F241" s="1">
        <v>67</v>
      </c>
      <c r="G241" s="1" t="s">
        <v>443</v>
      </c>
      <c r="H241" s="5">
        <v>746</v>
      </c>
      <c r="I241" t="s">
        <v>438</v>
      </c>
      <c r="J241" s="1">
        <v>1</v>
      </c>
      <c r="K241" s="1" t="s">
        <v>446</v>
      </c>
      <c r="L241">
        <v>96</v>
      </c>
      <c r="M241" t="s">
        <v>440</v>
      </c>
    </row>
    <row r="242" spans="1:13" x14ac:dyDescent="0.25">
      <c r="A242" t="s">
        <v>273</v>
      </c>
      <c r="B242" t="s">
        <v>25</v>
      </c>
      <c r="C242" t="s">
        <v>11</v>
      </c>
      <c r="D242" t="s">
        <v>47</v>
      </c>
      <c r="E242" t="s">
        <v>13</v>
      </c>
      <c r="F242" s="1">
        <v>24</v>
      </c>
      <c r="G242" s="1" t="s">
        <v>450</v>
      </c>
      <c r="H242" s="5">
        <v>13937</v>
      </c>
      <c r="I242" t="s">
        <v>444</v>
      </c>
      <c r="J242" s="1">
        <v>9</v>
      </c>
      <c r="K242" s="1" t="s">
        <v>439</v>
      </c>
      <c r="L242">
        <v>70</v>
      </c>
      <c r="M242" t="s">
        <v>440</v>
      </c>
    </row>
    <row r="243" spans="1:13" x14ac:dyDescent="0.25">
      <c r="A243" t="s">
        <v>274</v>
      </c>
      <c r="B243" t="s">
        <v>15</v>
      </c>
      <c r="C243" t="s">
        <v>11</v>
      </c>
      <c r="D243" t="s">
        <v>29</v>
      </c>
      <c r="E243" t="s">
        <v>13</v>
      </c>
      <c r="F243" s="1">
        <v>40</v>
      </c>
      <c r="G243" s="1" t="s">
        <v>437</v>
      </c>
      <c r="H243" s="5">
        <v>12305</v>
      </c>
      <c r="I243" t="s">
        <v>444</v>
      </c>
      <c r="J243" s="1">
        <v>14</v>
      </c>
      <c r="K243" s="1" t="s">
        <v>445</v>
      </c>
      <c r="L243">
        <v>95</v>
      </c>
      <c r="M243" t="s">
        <v>440</v>
      </c>
    </row>
    <row r="244" spans="1:13" x14ac:dyDescent="0.25">
      <c r="A244" t="s">
        <v>275</v>
      </c>
      <c r="B244" t="s">
        <v>25</v>
      </c>
      <c r="C244" t="s">
        <v>40</v>
      </c>
      <c r="D244" t="s">
        <v>34</v>
      </c>
      <c r="E244" t="s">
        <v>17</v>
      </c>
      <c r="F244" s="1">
        <v>6</v>
      </c>
      <c r="G244" s="1" t="s">
        <v>448</v>
      </c>
      <c r="H244" s="5">
        <v>3388</v>
      </c>
      <c r="I244" t="s">
        <v>438</v>
      </c>
      <c r="J244" s="1">
        <v>5</v>
      </c>
      <c r="K244" s="1" t="s">
        <v>447</v>
      </c>
      <c r="L244">
        <v>77</v>
      </c>
      <c r="M244" t="s">
        <v>440</v>
      </c>
    </row>
    <row r="245" spans="1:13" x14ac:dyDescent="0.25">
      <c r="A245" t="s">
        <v>276</v>
      </c>
      <c r="B245" t="s">
        <v>44</v>
      </c>
      <c r="C245" t="s">
        <v>11</v>
      </c>
      <c r="D245" t="s">
        <v>31</v>
      </c>
      <c r="E245" t="s">
        <v>13</v>
      </c>
      <c r="F245" s="1">
        <v>52</v>
      </c>
      <c r="G245" s="1" t="s">
        <v>449</v>
      </c>
      <c r="H245" s="5">
        <v>10952</v>
      </c>
      <c r="I245" t="s">
        <v>444</v>
      </c>
      <c r="J245" s="1">
        <v>13</v>
      </c>
      <c r="K245" s="1" t="s">
        <v>445</v>
      </c>
      <c r="L245">
        <v>97</v>
      </c>
      <c r="M245" t="s">
        <v>440</v>
      </c>
    </row>
    <row r="246" spans="1:13" x14ac:dyDescent="0.25">
      <c r="A246" t="s">
        <v>277</v>
      </c>
      <c r="B246" t="s">
        <v>10</v>
      </c>
      <c r="C246" t="s">
        <v>40</v>
      </c>
      <c r="D246" t="s">
        <v>12</v>
      </c>
      <c r="E246" t="s">
        <v>17</v>
      </c>
      <c r="F246" s="1">
        <v>78</v>
      </c>
      <c r="G246" s="1" t="s">
        <v>443</v>
      </c>
      <c r="H246" s="5">
        <v>4089</v>
      </c>
      <c r="I246" t="s">
        <v>438</v>
      </c>
      <c r="J246" s="1">
        <v>1</v>
      </c>
      <c r="K246" s="1" t="s">
        <v>446</v>
      </c>
      <c r="L246">
        <v>58</v>
      </c>
      <c r="M246" t="s">
        <v>442</v>
      </c>
    </row>
    <row r="247" spans="1:13" x14ac:dyDescent="0.25">
      <c r="A247" t="s">
        <v>278</v>
      </c>
      <c r="B247" t="s">
        <v>15</v>
      </c>
      <c r="C247" t="s">
        <v>40</v>
      </c>
      <c r="D247" t="s">
        <v>29</v>
      </c>
      <c r="E247" t="s">
        <v>17</v>
      </c>
      <c r="F247" s="1">
        <v>73</v>
      </c>
      <c r="G247" s="1" t="s">
        <v>443</v>
      </c>
      <c r="H247" s="5">
        <v>765</v>
      </c>
      <c r="I247" t="s">
        <v>438</v>
      </c>
      <c r="J247" s="1">
        <v>5</v>
      </c>
      <c r="K247" s="1" t="s">
        <v>447</v>
      </c>
      <c r="L247">
        <v>59</v>
      </c>
      <c r="M247" t="s">
        <v>442</v>
      </c>
    </row>
    <row r="248" spans="1:13" x14ac:dyDescent="0.25">
      <c r="A248" t="s">
        <v>279</v>
      </c>
      <c r="B248" t="s">
        <v>10</v>
      </c>
      <c r="C248" t="s">
        <v>23</v>
      </c>
      <c r="D248" t="s">
        <v>29</v>
      </c>
      <c r="E248" t="s">
        <v>17</v>
      </c>
      <c r="F248" s="1">
        <v>10</v>
      </c>
      <c r="G248" s="1" t="s">
        <v>448</v>
      </c>
      <c r="H248" s="5">
        <v>1375</v>
      </c>
      <c r="I248" t="s">
        <v>438</v>
      </c>
      <c r="J248" s="1">
        <v>1</v>
      </c>
      <c r="K248" s="1" t="s">
        <v>446</v>
      </c>
      <c r="L248">
        <v>83</v>
      </c>
      <c r="M248" t="s">
        <v>440</v>
      </c>
    </row>
    <row r="249" spans="1:13" x14ac:dyDescent="0.25">
      <c r="A249" t="s">
        <v>280</v>
      </c>
      <c r="B249" t="s">
        <v>44</v>
      </c>
      <c r="C249" t="s">
        <v>23</v>
      </c>
      <c r="D249" t="s">
        <v>29</v>
      </c>
      <c r="E249" t="s">
        <v>13</v>
      </c>
      <c r="F249" s="1">
        <v>32</v>
      </c>
      <c r="G249" s="1" t="s">
        <v>437</v>
      </c>
      <c r="H249" s="5">
        <v>432</v>
      </c>
      <c r="I249" t="s">
        <v>438</v>
      </c>
      <c r="J249" s="1">
        <v>1</v>
      </c>
      <c r="K249" s="1" t="s">
        <v>446</v>
      </c>
      <c r="L249">
        <v>97</v>
      </c>
      <c r="M249" t="s">
        <v>440</v>
      </c>
    </row>
    <row r="250" spans="1:13" x14ac:dyDescent="0.25">
      <c r="A250" t="s">
        <v>281</v>
      </c>
      <c r="B250" t="s">
        <v>22</v>
      </c>
      <c r="C250" t="s">
        <v>23</v>
      </c>
      <c r="D250" t="s">
        <v>20</v>
      </c>
      <c r="E250" t="s">
        <v>17</v>
      </c>
      <c r="F250" s="1">
        <v>72</v>
      </c>
      <c r="G250" s="1" t="s">
        <v>443</v>
      </c>
      <c r="H250" s="5">
        <v>441</v>
      </c>
      <c r="I250" t="s">
        <v>438</v>
      </c>
      <c r="J250" s="1">
        <v>2</v>
      </c>
      <c r="K250" s="1" t="s">
        <v>446</v>
      </c>
      <c r="L250">
        <v>99</v>
      </c>
      <c r="M250" t="s">
        <v>440</v>
      </c>
    </row>
    <row r="251" spans="1:13" x14ac:dyDescent="0.25">
      <c r="A251" t="s">
        <v>282</v>
      </c>
      <c r="B251" t="s">
        <v>44</v>
      </c>
      <c r="C251" t="s">
        <v>23</v>
      </c>
      <c r="D251" t="s">
        <v>60</v>
      </c>
      <c r="E251" t="s">
        <v>37</v>
      </c>
      <c r="F251" s="1">
        <v>37</v>
      </c>
      <c r="G251" s="1" t="s">
        <v>437</v>
      </c>
      <c r="H251" s="5">
        <v>1621</v>
      </c>
      <c r="I251" t="s">
        <v>438</v>
      </c>
      <c r="J251" s="1">
        <v>2</v>
      </c>
      <c r="K251" s="1" t="s">
        <v>446</v>
      </c>
      <c r="L251">
        <v>62</v>
      </c>
      <c r="M251" t="s">
        <v>442</v>
      </c>
    </row>
    <row r="252" spans="1:13" x14ac:dyDescent="0.25">
      <c r="A252" t="s">
        <v>283</v>
      </c>
      <c r="B252" t="s">
        <v>15</v>
      </c>
      <c r="C252" t="s">
        <v>40</v>
      </c>
      <c r="D252" t="s">
        <v>31</v>
      </c>
      <c r="E252" t="s">
        <v>17</v>
      </c>
      <c r="F252" s="1">
        <v>57</v>
      </c>
      <c r="G252" s="1" t="s">
        <v>449</v>
      </c>
      <c r="H252" s="5">
        <v>1219</v>
      </c>
      <c r="I252" t="s">
        <v>438</v>
      </c>
      <c r="J252" s="1">
        <v>3</v>
      </c>
      <c r="K252" s="1" t="s">
        <v>447</v>
      </c>
      <c r="L252">
        <v>92</v>
      </c>
      <c r="M252" t="s">
        <v>440</v>
      </c>
    </row>
    <row r="253" spans="1:13" x14ac:dyDescent="0.25">
      <c r="A253" t="s">
        <v>284</v>
      </c>
      <c r="B253" t="s">
        <v>44</v>
      </c>
      <c r="C253" t="s">
        <v>11</v>
      </c>
      <c r="D253" t="s">
        <v>20</v>
      </c>
      <c r="E253" t="s">
        <v>13</v>
      </c>
      <c r="F253" s="1">
        <v>39</v>
      </c>
      <c r="G253" s="1" t="s">
        <v>437</v>
      </c>
      <c r="H253" s="5">
        <v>18948</v>
      </c>
      <c r="I253" t="s">
        <v>444</v>
      </c>
      <c r="J253" s="1">
        <v>7</v>
      </c>
      <c r="K253" s="1" t="s">
        <v>439</v>
      </c>
      <c r="L253">
        <v>95</v>
      </c>
      <c r="M253" t="s">
        <v>440</v>
      </c>
    </row>
    <row r="254" spans="1:13" x14ac:dyDescent="0.25">
      <c r="A254" t="s">
        <v>285</v>
      </c>
      <c r="B254" t="s">
        <v>10</v>
      </c>
      <c r="C254" t="s">
        <v>40</v>
      </c>
      <c r="D254" t="s">
        <v>29</v>
      </c>
      <c r="E254" t="s">
        <v>13</v>
      </c>
      <c r="F254" s="1">
        <v>16</v>
      </c>
      <c r="G254" s="1" t="s">
        <v>451</v>
      </c>
      <c r="H254" s="5">
        <v>2146</v>
      </c>
      <c r="I254" t="s">
        <v>438</v>
      </c>
      <c r="J254" s="1">
        <v>2</v>
      </c>
      <c r="K254" s="1" t="s">
        <v>446</v>
      </c>
      <c r="L254">
        <v>65</v>
      </c>
      <c r="M254" t="s">
        <v>442</v>
      </c>
    </row>
    <row r="255" spans="1:13" x14ac:dyDescent="0.25">
      <c r="A255" t="s">
        <v>286</v>
      </c>
      <c r="B255" t="s">
        <v>49</v>
      </c>
      <c r="C255" t="s">
        <v>23</v>
      </c>
      <c r="D255" t="s">
        <v>12</v>
      </c>
      <c r="E255" t="s">
        <v>17</v>
      </c>
      <c r="F255" s="1">
        <v>74</v>
      </c>
      <c r="G255" s="1" t="s">
        <v>443</v>
      </c>
      <c r="H255" s="5">
        <v>955</v>
      </c>
      <c r="I255" t="s">
        <v>438</v>
      </c>
      <c r="J255" s="1">
        <v>2</v>
      </c>
      <c r="K255" s="1" t="s">
        <v>446</v>
      </c>
      <c r="L255">
        <v>85</v>
      </c>
      <c r="M255" t="s">
        <v>440</v>
      </c>
    </row>
    <row r="256" spans="1:13" x14ac:dyDescent="0.25">
      <c r="A256" t="s">
        <v>287</v>
      </c>
      <c r="B256" t="s">
        <v>22</v>
      </c>
      <c r="C256" t="s">
        <v>11</v>
      </c>
      <c r="D256" t="s">
        <v>31</v>
      </c>
      <c r="E256" t="s">
        <v>17</v>
      </c>
      <c r="F256" s="1">
        <v>62</v>
      </c>
      <c r="G256" s="1" t="s">
        <v>443</v>
      </c>
      <c r="H256" s="5">
        <v>13612</v>
      </c>
      <c r="I256" t="s">
        <v>444</v>
      </c>
      <c r="J256" s="1">
        <v>11</v>
      </c>
      <c r="K256" s="1" t="s">
        <v>445</v>
      </c>
      <c r="L256">
        <v>99</v>
      </c>
      <c r="M256" t="s">
        <v>440</v>
      </c>
    </row>
    <row r="257" spans="1:13" x14ac:dyDescent="0.25">
      <c r="A257" t="s">
        <v>288</v>
      </c>
      <c r="B257" t="s">
        <v>25</v>
      </c>
      <c r="C257" t="s">
        <v>11</v>
      </c>
      <c r="D257" t="s">
        <v>42</v>
      </c>
      <c r="E257" t="s">
        <v>13</v>
      </c>
      <c r="F257" s="1">
        <v>83</v>
      </c>
      <c r="G257" s="1" t="s">
        <v>443</v>
      </c>
      <c r="H257" s="5">
        <v>6215</v>
      </c>
      <c r="I257" t="s">
        <v>438</v>
      </c>
      <c r="J257" s="1">
        <v>12</v>
      </c>
      <c r="K257" s="1" t="s">
        <v>445</v>
      </c>
      <c r="L257">
        <v>79</v>
      </c>
      <c r="M257" t="s">
        <v>440</v>
      </c>
    </row>
    <row r="258" spans="1:13" x14ac:dyDescent="0.25">
      <c r="A258" t="s">
        <v>289</v>
      </c>
      <c r="B258" t="s">
        <v>10</v>
      </c>
      <c r="C258" t="s">
        <v>26</v>
      </c>
      <c r="D258" t="s">
        <v>42</v>
      </c>
      <c r="E258" t="s">
        <v>13</v>
      </c>
      <c r="F258" s="1">
        <v>71</v>
      </c>
      <c r="G258" s="1" t="s">
        <v>443</v>
      </c>
      <c r="H258" s="5">
        <v>6241</v>
      </c>
      <c r="I258" t="s">
        <v>438</v>
      </c>
      <c r="J258" s="1">
        <v>4</v>
      </c>
      <c r="K258" s="1" t="s">
        <v>447</v>
      </c>
      <c r="L258">
        <v>99</v>
      </c>
      <c r="M258" t="s">
        <v>440</v>
      </c>
    </row>
    <row r="259" spans="1:13" x14ac:dyDescent="0.25">
      <c r="A259" t="s">
        <v>290</v>
      </c>
      <c r="B259" t="s">
        <v>22</v>
      </c>
      <c r="C259" t="s">
        <v>23</v>
      </c>
      <c r="D259" t="s">
        <v>20</v>
      </c>
      <c r="E259" t="s">
        <v>13</v>
      </c>
      <c r="F259" s="1">
        <v>8</v>
      </c>
      <c r="G259" s="1" t="s">
        <v>448</v>
      </c>
      <c r="H259" s="5">
        <v>1902</v>
      </c>
      <c r="I259" t="s">
        <v>438</v>
      </c>
      <c r="J259" s="1">
        <v>1</v>
      </c>
      <c r="K259" s="1" t="s">
        <v>446</v>
      </c>
      <c r="L259">
        <v>83</v>
      </c>
      <c r="M259" t="s">
        <v>440</v>
      </c>
    </row>
    <row r="260" spans="1:13" x14ac:dyDescent="0.25">
      <c r="A260" t="s">
        <v>291</v>
      </c>
      <c r="B260" t="s">
        <v>22</v>
      </c>
      <c r="C260" t="s">
        <v>26</v>
      </c>
      <c r="D260" t="s">
        <v>42</v>
      </c>
      <c r="E260" t="s">
        <v>17</v>
      </c>
      <c r="F260" s="1">
        <v>29</v>
      </c>
      <c r="G260" s="1" t="s">
        <v>450</v>
      </c>
      <c r="H260" s="5">
        <v>3834</v>
      </c>
      <c r="I260" t="s">
        <v>438</v>
      </c>
      <c r="J260" s="1">
        <v>10</v>
      </c>
      <c r="K260" s="1" t="s">
        <v>439</v>
      </c>
      <c r="L260">
        <v>68</v>
      </c>
      <c r="M260" t="s">
        <v>440</v>
      </c>
    </row>
    <row r="261" spans="1:13" x14ac:dyDescent="0.25">
      <c r="A261" t="s">
        <v>292</v>
      </c>
      <c r="B261" t="s">
        <v>49</v>
      </c>
      <c r="C261" t="s">
        <v>11</v>
      </c>
      <c r="D261" t="s">
        <v>27</v>
      </c>
      <c r="E261" t="s">
        <v>17</v>
      </c>
      <c r="F261" s="1">
        <v>71</v>
      </c>
      <c r="G261" s="1" t="s">
        <v>443</v>
      </c>
      <c r="H261" s="5">
        <v>9496</v>
      </c>
      <c r="I261" t="s">
        <v>438</v>
      </c>
      <c r="J261" s="1">
        <v>7</v>
      </c>
      <c r="K261" s="1" t="s">
        <v>439</v>
      </c>
      <c r="L261">
        <v>90</v>
      </c>
      <c r="M261" t="s">
        <v>440</v>
      </c>
    </row>
    <row r="262" spans="1:13" x14ac:dyDescent="0.25">
      <c r="A262" t="s">
        <v>293</v>
      </c>
      <c r="B262" t="s">
        <v>44</v>
      </c>
      <c r="C262" t="s">
        <v>11</v>
      </c>
      <c r="D262" t="s">
        <v>20</v>
      </c>
      <c r="E262" t="s">
        <v>13</v>
      </c>
      <c r="F262" s="1">
        <v>76</v>
      </c>
      <c r="G262" s="1" t="s">
        <v>443</v>
      </c>
      <c r="H262" s="5">
        <v>14513</v>
      </c>
      <c r="I262" t="s">
        <v>444</v>
      </c>
      <c r="J262" s="1">
        <v>7</v>
      </c>
      <c r="K262" s="1" t="s">
        <v>439</v>
      </c>
      <c r="L262">
        <v>60</v>
      </c>
      <c r="M262" t="s">
        <v>442</v>
      </c>
    </row>
    <row r="263" spans="1:13" x14ac:dyDescent="0.25">
      <c r="A263" t="s">
        <v>294</v>
      </c>
      <c r="B263" t="s">
        <v>10</v>
      </c>
      <c r="C263" t="s">
        <v>26</v>
      </c>
      <c r="D263" t="s">
        <v>16</v>
      </c>
      <c r="E263" t="s">
        <v>17</v>
      </c>
      <c r="F263" s="1">
        <v>4</v>
      </c>
      <c r="G263" s="1" t="s">
        <v>441</v>
      </c>
      <c r="H263" s="5">
        <v>1665</v>
      </c>
      <c r="I263" t="s">
        <v>438</v>
      </c>
      <c r="J263" s="1">
        <v>2</v>
      </c>
      <c r="K263" s="1" t="s">
        <v>446</v>
      </c>
      <c r="L263">
        <v>91</v>
      </c>
      <c r="M263" t="s">
        <v>440</v>
      </c>
    </row>
    <row r="264" spans="1:13" x14ac:dyDescent="0.25">
      <c r="A264" t="s">
        <v>295</v>
      </c>
      <c r="B264" t="s">
        <v>49</v>
      </c>
      <c r="C264" t="s">
        <v>26</v>
      </c>
      <c r="D264" t="s">
        <v>60</v>
      </c>
      <c r="E264" t="s">
        <v>13</v>
      </c>
      <c r="F264" s="1">
        <v>54</v>
      </c>
      <c r="G264" s="1" t="s">
        <v>449</v>
      </c>
      <c r="H264" s="5">
        <v>6063</v>
      </c>
      <c r="I264" t="s">
        <v>438</v>
      </c>
      <c r="J264" s="1">
        <v>2</v>
      </c>
      <c r="K264" s="1" t="s">
        <v>446</v>
      </c>
      <c r="L264">
        <v>81</v>
      </c>
      <c r="M264" t="s">
        <v>440</v>
      </c>
    </row>
    <row r="265" spans="1:13" x14ac:dyDescent="0.25">
      <c r="A265" t="s">
        <v>296</v>
      </c>
      <c r="B265" t="s">
        <v>10</v>
      </c>
      <c r="C265" t="s">
        <v>26</v>
      </c>
      <c r="D265" t="s">
        <v>27</v>
      </c>
      <c r="E265" t="s">
        <v>17</v>
      </c>
      <c r="F265" s="1">
        <v>88</v>
      </c>
      <c r="G265" s="1" t="s">
        <v>443</v>
      </c>
      <c r="H265" s="5">
        <v>4326</v>
      </c>
      <c r="I265" t="s">
        <v>438</v>
      </c>
      <c r="J265" s="1">
        <v>6</v>
      </c>
      <c r="K265" s="1" t="s">
        <v>439</v>
      </c>
      <c r="L265">
        <v>79</v>
      </c>
      <c r="M265" t="s">
        <v>440</v>
      </c>
    </row>
    <row r="266" spans="1:13" x14ac:dyDescent="0.25">
      <c r="A266" t="s">
        <v>297</v>
      </c>
      <c r="B266" t="s">
        <v>15</v>
      </c>
      <c r="C266" t="s">
        <v>11</v>
      </c>
      <c r="D266" t="s">
        <v>42</v>
      </c>
      <c r="E266" t="s">
        <v>17</v>
      </c>
      <c r="F266" s="1">
        <v>62</v>
      </c>
      <c r="G266" s="1" t="s">
        <v>443</v>
      </c>
      <c r="H266" s="5">
        <v>12609</v>
      </c>
      <c r="I266" t="s">
        <v>444</v>
      </c>
      <c r="J266" s="1">
        <v>8</v>
      </c>
      <c r="K266" s="1" t="s">
        <v>439</v>
      </c>
      <c r="L266">
        <v>71</v>
      </c>
      <c r="M266" t="s">
        <v>440</v>
      </c>
    </row>
    <row r="267" spans="1:13" x14ac:dyDescent="0.25">
      <c r="A267" t="s">
        <v>298</v>
      </c>
      <c r="B267" t="s">
        <v>19</v>
      </c>
      <c r="C267" t="s">
        <v>40</v>
      </c>
      <c r="D267" t="s">
        <v>29</v>
      </c>
      <c r="E267" t="s">
        <v>13</v>
      </c>
      <c r="F267" s="1">
        <v>41</v>
      </c>
      <c r="G267" s="1" t="s">
        <v>437</v>
      </c>
      <c r="H267" s="5">
        <v>3329</v>
      </c>
      <c r="I267" t="s">
        <v>438</v>
      </c>
      <c r="J267" s="1">
        <v>4</v>
      </c>
      <c r="K267" s="1" t="s">
        <v>447</v>
      </c>
      <c r="L267">
        <v>58</v>
      </c>
      <c r="M267" t="s">
        <v>442</v>
      </c>
    </row>
    <row r="268" spans="1:13" x14ac:dyDescent="0.25">
      <c r="A268" t="s">
        <v>299</v>
      </c>
      <c r="B268" t="s">
        <v>49</v>
      </c>
      <c r="C268" t="s">
        <v>26</v>
      </c>
      <c r="D268" t="s">
        <v>20</v>
      </c>
      <c r="E268" t="s">
        <v>13</v>
      </c>
      <c r="F268" s="1">
        <v>41</v>
      </c>
      <c r="G268" s="1" t="s">
        <v>437</v>
      </c>
      <c r="H268" s="5">
        <v>2980</v>
      </c>
      <c r="I268" t="s">
        <v>438</v>
      </c>
      <c r="J268" s="1">
        <v>9</v>
      </c>
      <c r="K268" s="1" t="s">
        <v>439</v>
      </c>
      <c r="L268">
        <v>57</v>
      </c>
      <c r="M268" t="s">
        <v>442</v>
      </c>
    </row>
    <row r="269" spans="1:13" x14ac:dyDescent="0.25">
      <c r="A269" t="s">
        <v>300</v>
      </c>
      <c r="B269" t="s">
        <v>44</v>
      </c>
      <c r="C269" t="s">
        <v>23</v>
      </c>
      <c r="D269" t="s">
        <v>60</v>
      </c>
      <c r="E269" t="s">
        <v>17</v>
      </c>
      <c r="F269" s="1">
        <v>7</v>
      </c>
      <c r="G269" s="1" t="s">
        <v>448</v>
      </c>
      <c r="H269" s="5">
        <v>794</v>
      </c>
      <c r="I269" t="s">
        <v>438</v>
      </c>
      <c r="J269" s="1">
        <v>2</v>
      </c>
      <c r="K269" s="1" t="s">
        <v>446</v>
      </c>
      <c r="L269">
        <v>89</v>
      </c>
      <c r="M269" t="s">
        <v>440</v>
      </c>
    </row>
    <row r="270" spans="1:13" x14ac:dyDescent="0.25">
      <c r="A270" t="s">
        <v>301</v>
      </c>
      <c r="B270" t="s">
        <v>25</v>
      </c>
      <c r="C270" t="s">
        <v>40</v>
      </c>
      <c r="D270" t="s">
        <v>42</v>
      </c>
      <c r="E270" t="s">
        <v>13</v>
      </c>
      <c r="F270" s="1">
        <v>74</v>
      </c>
      <c r="G270" s="1" t="s">
        <v>443</v>
      </c>
      <c r="H270" s="5">
        <v>3061</v>
      </c>
      <c r="I270" t="s">
        <v>438</v>
      </c>
      <c r="J270" s="1">
        <v>2</v>
      </c>
      <c r="K270" s="1" t="s">
        <v>446</v>
      </c>
      <c r="L270">
        <v>98</v>
      </c>
      <c r="M270" t="s">
        <v>440</v>
      </c>
    </row>
    <row r="271" spans="1:13" x14ac:dyDescent="0.25">
      <c r="A271" t="s">
        <v>302</v>
      </c>
      <c r="B271" t="s">
        <v>22</v>
      </c>
      <c r="C271" t="s">
        <v>23</v>
      </c>
      <c r="D271" t="s">
        <v>20</v>
      </c>
      <c r="E271" t="s">
        <v>17</v>
      </c>
      <c r="F271" s="1">
        <v>40</v>
      </c>
      <c r="G271" s="1" t="s">
        <v>437</v>
      </c>
      <c r="H271" s="5">
        <v>1218</v>
      </c>
      <c r="I271" t="s">
        <v>438</v>
      </c>
      <c r="J271" s="1">
        <v>1</v>
      </c>
      <c r="K271" s="1" t="s">
        <v>446</v>
      </c>
      <c r="L271">
        <v>55</v>
      </c>
      <c r="M271" t="s">
        <v>442</v>
      </c>
    </row>
    <row r="272" spans="1:13" x14ac:dyDescent="0.25">
      <c r="A272" t="s">
        <v>303</v>
      </c>
      <c r="B272" t="s">
        <v>25</v>
      </c>
      <c r="C272" t="s">
        <v>23</v>
      </c>
      <c r="D272" t="s">
        <v>60</v>
      </c>
      <c r="E272" t="s">
        <v>17</v>
      </c>
      <c r="F272" s="1">
        <v>46</v>
      </c>
      <c r="G272" s="1" t="s">
        <v>449</v>
      </c>
      <c r="H272" s="5">
        <v>299</v>
      </c>
      <c r="I272" t="s">
        <v>438</v>
      </c>
      <c r="J272" s="1">
        <v>1</v>
      </c>
      <c r="K272" s="1" t="s">
        <v>446</v>
      </c>
      <c r="L272">
        <v>68</v>
      </c>
      <c r="M272" t="s">
        <v>440</v>
      </c>
    </row>
    <row r="273" spans="1:13" x14ac:dyDescent="0.25">
      <c r="A273" t="s">
        <v>304</v>
      </c>
      <c r="B273" t="s">
        <v>25</v>
      </c>
      <c r="C273" t="s">
        <v>23</v>
      </c>
      <c r="D273" t="s">
        <v>27</v>
      </c>
      <c r="E273" t="s">
        <v>13</v>
      </c>
      <c r="F273" s="1">
        <v>14</v>
      </c>
      <c r="G273" s="1" t="s">
        <v>451</v>
      </c>
      <c r="H273" s="5">
        <v>1082</v>
      </c>
      <c r="I273" t="s">
        <v>438</v>
      </c>
      <c r="J273" s="1">
        <v>1</v>
      </c>
      <c r="K273" s="1" t="s">
        <v>446</v>
      </c>
      <c r="L273">
        <v>66</v>
      </c>
      <c r="M273" t="s">
        <v>442</v>
      </c>
    </row>
    <row r="274" spans="1:13" x14ac:dyDescent="0.25">
      <c r="A274" t="s">
        <v>305</v>
      </c>
      <c r="B274" t="s">
        <v>10</v>
      </c>
      <c r="C274" t="s">
        <v>26</v>
      </c>
      <c r="D274" t="s">
        <v>47</v>
      </c>
      <c r="E274" t="s">
        <v>17</v>
      </c>
      <c r="F274" s="1">
        <v>52</v>
      </c>
      <c r="G274" s="1" t="s">
        <v>449</v>
      </c>
      <c r="H274" s="5">
        <v>1419</v>
      </c>
      <c r="I274" t="s">
        <v>438</v>
      </c>
      <c r="J274" s="1">
        <v>10</v>
      </c>
      <c r="K274" s="1" t="s">
        <v>439</v>
      </c>
      <c r="L274">
        <v>62</v>
      </c>
      <c r="M274" t="s">
        <v>442</v>
      </c>
    </row>
    <row r="275" spans="1:13" x14ac:dyDescent="0.25">
      <c r="A275" t="s">
        <v>306</v>
      </c>
      <c r="B275" t="s">
        <v>44</v>
      </c>
      <c r="C275" t="s">
        <v>26</v>
      </c>
      <c r="D275" t="s">
        <v>31</v>
      </c>
      <c r="E275" t="s">
        <v>17</v>
      </c>
      <c r="F275" s="1">
        <v>58</v>
      </c>
      <c r="G275" s="1" t="s">
        <v>449</v>
      </c>
      <c r="H275" s="5">
        <v>5504</v>
      </c>
      <c r="I275" t="s">
        <v>438</v>
      </c>
      <c r="J275" s="1">
        <v>6</v>
      </c>
      <c r="K275" s="1" t="s">
        <v>439</v>
      </c>
      <c r="L275">
        <v>89</v>
      </c>
      <c r="M275" t="s">
        <v>440</v>
      </c>
    </row>
    <row r="276" spans="1:13" x14ac:dyDescent="0.25">
      <c r="A276" t="s">
        <v>307</v>
      </c>
      <c r="B276" t="s">
        <v>10</v>
      </c>
      <c r="C276" t="s">
        <v>11</v>
      </c>
      <c r="D276" t="s">
        <v>42</v>
      </c>
      <c r="E276" t="s">
        <v>13</v>
      </c>
      <c r="F276" s="1">
        <v>51</v>
      </c>
      <c r="G276" s="1" t="s">
        <v>449</v>
      </c>
      <c r="H276" s="5">
        <v>11114</v>
      </c>
      <c r="I276" t="s">
        <v>444</v>
      </c>
      <c r="J276" s="1">
        <v>10</v>
      </c>
      <c r="K276" s="1" t="s">
        <v>439</v>
      </c>
      <c r="L276">
        <v>85</v>
      </c>
      <c r="M276" t="s">
        <v>440</v>
      </c>
    </row>
    <row r="277" spans="1:13" x14ac:dyDescent="0.25">
      <c r="A277" t="s">
        <v>308</v>
      </c>
      <c r="B277" t="s">
        <v>44</v>
      </c>
      <c r="C277" t="s">
        <v>40</v>
      </c>
      <c r="D277" t="s">
        <v>60</v>
      </c>
      <c r="E277" t="s">
        <v>13</v>
      </c>
      <c r="F277" s="1">
        <v>52</v>
      </c>
      <c r="G277" s="1" t="s">
        <v>449</v>
      </c>
      <c r="H277" s="5">
        <v>4596</v>
      </c>
      <c r="I277" t="s">
        <v>438</v>
      </c>
      <c r="J277" s="1">
        <v>1</v>
      </c>
      <c r="K277" s="1" t="s">
        <v>446</v>
      </c>
      <c r="L277">
        <v>52</v>
      </c>
      <c r="M277" t="s">
        <v>442</v>
      </c>
    </row>
    <row r="278" spans="1:13" x14ac:dyDescent="0.25">
      <c r="A278" t="s">
        <v>309</v>
      </c>
      <c r="B278" t="s">
        <v>15</v>
      </c>
      <c r="C278" t="s">
        <v>40</v>
      </c>
      <c r="D278" t="s">
        <v>29</v>
      </c>
      <c r="E278" t="s">
        <v>13</v>
      </c>
      <c r="F278" s="1">
        <v>67</v>
      </c>
      <c r="G278" s="1" t="s">
        <v>443</v>
      </c>
      <c r="H278" s="5">
        <v>4243</v>
      </c>
      <c r="I278" t="s">
        <v>438</v>
      </c>
      <c r="J278" s="1">
        <v>2</v>
      </c>
      <c r="K278" s="1" t="s">
        <v>446</v>
      </c>
      <c r="L278">
        <v>88</v>
      </c>
      <c r="M278" t="s">
        <v>440</v>
      </c>
    </row>
    <row r="279" spans="1:13" x14ac:dyDescent="0.25">
      <c r="A279" t="s">
        <v>310</v>
      </c>
      <c r="B279" t="s">
        <v>19</v>
      </c>
      <c r="C279" t="s">
        <v>40</v>
      </c>
      <c r="D279" t="s">
        <v>29</v>
      </c>
      <c r="E279" t="s">
        <v>13</v>
      </c>
      <c r="F279" s="1">
        <v>41</v>
      </c>
      <c r="G279" s="1" t="s">
        <v>437</v>
      </c>
      <c r="H279" s="5">
        <v>1831</v>
      </c>
      <c r="I279" t="s">
        <v>438</v>
      </c>
      <c r="J279" s="1">
        <v>4</v>
      </c>
      <c r="K279" s="1" t="s">
        <v>447</v>
      </c>
      <c r="L279">
        <v>89</v>
      </c>
      <c r="M279" t="s">
        <v>440</v>
      </c>
    </row>
    <row r="280" spans="1:13" x14ac:dyDescent="0.25">
      <c r="A280" t="s">
        <v>311</v>
      </c>
      <c r="B280" t="s">
        <v>10</v>
      </c>
      <c r="C280" t="s">
        <v>26</v>
      </c>
      <c r="D280" t="s">
        <v>16</v>
      </c>
      <c r="E280" t="s">
        <v>17</v>
      </c>
      <c r="F280" s="1">
        <v>66</v>
      </c>
      <c r="G280" s="1" t="s">
        <v>443</v>
      </c>
      <c r="H280" s="5">
        <v>5360</v>
      </c>
      <c r="I280" t="s">
        <v>438</v>
      </c>
      <c r="J280" s="1">
        <v>9</v>
      </c>
      <c r="K280" s="1" t="s">
        <v>439</v>
      </c>
      <c r="L280">
        <v>95</v>
      </c>
      <c r="M280" t="s">
        <v>440</v>
      </c>
    </row>
    <row r="281" spans="1:13" x14ac:dyDescent="0.25">
      <c r="A281" t="s">
        <v>312</v>
      </c>
      <c r="B281" t="s">
        <v>19</v>
      </c>
      <c r="C281" t="s">
        <v>26</v>
      </c>
      <c r="D281" t="s">
        <v>34</v>
      </c>
      <c r="E281" t="s">
        <v>13</v>
      </c>
      <c r="F281" s="1">
        <v>48</v>
      </c>
      <c r="G281" s="1" t="s">
        <v>449</v>
      </c>
      <c r="H281" s="5">
        <v>3713</v>
      </c>
      <c r="I281" t="s">
        <v>438</v>
      </c>
      <c r="J281" s="1">
        <v>3</v>
      </c>
      <c r="K281" s="1" t="s">
        <v>447</v>
      </c>
      <c r="L281">
        <v>76</v>
      </c>
      <c r="M281" t="s">
        <v>440</v>
      </c>
    </row>
    <row r="282" spans="1:13" x14ac:dyDescent="0.25">
      <c r="A282" t="s">
        <v>313</v>
      </c>
      <c r="B282" t="s">
        <v>19</v>
      </c>
      <c r="C282" t="s">
        <v>26</v>
      </c>
      <c r="D282" t="s">
        <v>12</v>
      </c>
      <c r="E282" t="s">
        <v>13</v>
      </c>
      <c r="F282" s="1">
        <v>34</v>
      </c>
      <c r="G282" s="1" t="s">
        <v>437</v>
      </c>
      <c r="H282" s="5">
        <v>6370</v>
      </c>
      <c r="I282" t="s">
        <v>438</v>
      </c>
      <c r="J282" s="1">
        <v>5</v>
      </c>
      <c r="K282" s="1" t="s">
        <v>447</v>
      </c>
      <c r="L282">
        <v>96</v>
      </c>
      <c r="M282" t="s">
        <v>440</v>
      </c>
    </row>
    <row r="283" spans="1:13" x14ac:dyDescent="0.25">
      <c r="A283" t="s">
        <v>314</v>
      </c>
      <c r="B283" t="s">
        <v>15</v>
      </c>
      <c r="C283" t="s">
        <v>23</v>
      </c>
      <c r="D283" t="s">
        <v>42</v>
      </c>
      <c r="E283" t="s">
        <v>13</v>
      </c>
      <c r="F283" s="1">
        <v>80</v>
      </c>
      <c r="G283" s="1" t="s">
        <v>443</v>
      </c>
      <c r="H283" s="5">
        <v>1786</v>
      </c>
      <c r="I283" t="s">
        <v>438</v>
      </c>
      <c r="J283" s="1">
        <v>2</v>
      </c>
      <c r="K283" s="1" t="s">
        <v>446</v>
      </c>
      <c r="L283">
        <v>59</v>
      </c>
      <c r="M283" t="s">
        <v>442</v>
      </c>
    </row>
    <row r="284" spans="1:13" x14ac:dyDescent="0.25">
      <c r="A284" t="s">
        <v>315</v>
      </c>
      <c r="B284" t="s">
        <v>49</v>
      </c>
      <c r="C284" t="s">
        <v>40</v>
      </c>
      <c r="D284" t="s">
        <v>12</v>
      </c>
      <c r="E284" t="s">
        <v>13</v>
      </c>
      <c r="F284" s="1">
        <v>90</v>
      </c>
      <c r="G284" s="1" t="s">
        <v>443</v>
      </c>
      <c r="H284" s="5">
        <v>1400</v>
      </c>
      <c r="I284" t="s">
        <v>438</v>
      </c>
      <c r="J284" s="1">
        <v>2</v>
      </c>
      <c r="K284" s="1" t="s">
        <v>446</v>
      </c>
      <c r="L284">
        <v>51</v>
      </c>
      <c r="M284" t="s">
        <v>442</v>
      </c>
    </row>
    <row r="285" spans="1:13" x14ac:dyDescent="0.25">
      <c r="A285" t="s">
        <v>316</v>
      </c>
      <c r="B285" t="s">
        <v>25</v>
      </c>
      <c r="C285" t="s">
        <v>26</v>
      </c>
      <c r="D285" t="s">
        <v>47</v>
      </c>
      <c r="E285" t="s">
        <v>17</v>
      </c>
      <c r="F285" s="1">
        <v>89</v>
      </c>
      <c r="G285" s="1" t="s">
        <v>443</v>
      </c>
      <c r="H285" s="5">
        <v>2670</v>
      </c>
      <c r="I285" t="s">
        <v>438</v>
      </c>
      <c r="J285" s="1">
        <v>8</v>
      </c>
      <c r="K285" s="1" t="s">
        <v>439</v>
      </c>
      <c r="L285">
        <v>82</v>
      </c>
      <c r="M285" t="s">
        <v>440</v>
      </c>
    </row>
    <row r="286" spans="1:13" x14ac:dyDescent="0.25">
      <c r="A286" t="s">
        <v>317</v>
      </c>
      <c r="B286" t="s">
        <v>49</v>
      </c>
      <c r="C286" t="s">
        <v>23</v>
      </c>
      <c r="D286" t="s">
        <v>12</v>
      </c>
      <c r="E286" t="s">
        <v>13</v>
      </c>
      <c r="F286" s="1">
        <v>67</v>
      </c>
      <c r="G286" s="1" t="s">
        <v>443</v>
      </c>
      <c r="H286" s="5">
        <v>624</v>
      </c>
      <c r="I286" t="s">
        <v>438</v>
      </c>
      <c r="J286" s="1">
        <v>3</v>
      </c>
      <c r="K286" s="1" t="s">
        <v>447</v>
      </c>
      <c r="L286">
        <v>70</v>
      </c>
      <c r="M286" t="s">
        <v>440</v>
      </c>
    </row>
    <row r="287" spans="1:13" x14ac:dyDescent="0.25">
      <c r="A287" t="s">
        <v>318</v>
      </c>
      <c r="B287" t="s">
        <v>10</v>
      </c>
      <c r="C287" t="s">
        <v>23</v>
      </c>
      <c r="D287" t="s">
        <v>20</v>
      </c>
      <c r="E287" t="s">
        <v>17</v>
      </c>
      <c r="F287" s="1">
        <v>23</v>
      </c>
      <c r="G287" s="1" t="s">
        <v>450</v>
      </c>
      <c r="H287" s="5">
        <v>1141</v>
      </c>
      <c r="I287" t="s">
        <v>438</v>
      </c>
      <c r="J287" s="1">
        <v>3</v>
      </c>
      <c r="K287" s="1" t="s">
        <v>447</v>
      </c>
      <c r="L287">
        <v>71</v>
      </c>
      <c r="M287" t="s">
        <v>440</v>
      </c>
    </row>
    <row r="288" spans="1:13" x14ac:dyDescent="0.25">
      <c r="A288" t="s">
        <v>319</v>
      </c>
      <c r="B288" t="s">
        <v>19</v>
      </c>
      <c r="C288" t="s">
        <v>26</v>
      </c>
      <c r="D288" t="s">
        <v>27</v>
      </c>
      <c r="E288" t="s">
        <v>13</v>
      </c>
      <c r="F288" s="1">
        <v>25</v>
      </c>
      <c r="G288" s="1" t="s">
        <v>450</v>
      </c>
      <c r="H288" s="5">
        <v>3019</v>
      </c>
      <c r="I288" t="s">
        <v>438</v>
      </c>
      <c r="J288" s="1">
        <v>6</v>
      </c>
      <c r="K288" s="1" t="s">
        <v>439</v>
      </c>
      <c r="L288">
        <v>85</v>
      </c>
      <c r="M288" t="s">
        <v>440</v>
      </c>
    </row>
    <row r="289" spans="1:13" x14ac:dyDescent="0.25">
      <c r="A289" t="s">
        <v>320</v>
      </c>
      <c r="B289" t="s">
        <v>44</v>
      </c>
      <c r="C289" t="s">
        <v>40</v>
      </c>
      <c r="D289" t="s">
        <v>27</v>
      </c>
      <c r="E289" t="s">
        <v>13</v>
      </c>
      <c r="F289" s="1">
        <v>27</v>
      </c>
      <c r="G289" s="1" t="s">
        <v>450</v>
      </c>
      <c r="H289" s="5">
        <v>4505</v>
      </c>
      <c r="I289" t="s">
        <v>438</v>
      </c>
      <c r="J289" s="1">
        <v>3</v>
      </c>
      <c r="K289" s="1" t="s">
        <v>447</v>
      </c>
      <c r="L289">
        <v>80</v>
      </c>
      <c r="M289" t="s">
        <v>440</v>
      </c>
    </row>
    <row r="290" spans="1:13" x14ac:dyDescent="0.25">
      <c r="A290" t="s">
        <v>321</v>
      </c>
      <c r="B290" t="s">
        <v>44</v>
      </c>
      <c r="C290" t="s">
        <v>26</v>
      </c>
      <c r="D290" t="s">
        <v>27</v>
      </c>
      <c r="E290" t="s">
        <v>17</v>
      </c>
      <c r="F290" s="1">
        <v>87</v>
      </c>
      <c r="G290" s="1" t="s">
        <v>443</v>
      </c>
      <c r="H290" s="5">
        <v>5449</v>
      </c>
      <c r="I290" t="s">
        <v>438</v>
      </c>
      <c r="J290" s="1">
        <v>8</v>
      </c>
      <c r="K290" s="1" t="s">
        <v>439</v>
      </c>
      <c r="L290">
        <v>75</v>
      </c>
      <c r="M290" t="s">
        <v>440</v>
      </c>
    </row>
    <row r="291" spans="1:13" x14ac:dyDescent="0.25">
      <c r="A291" t="s">
        <v>322</v>
      </c>
      <c r="B291" t="s">
        <v>49</v>
      </c>
      <c r="C291" t="s">
        <v>26</v>
      </c>
      <c r="D291" t="s">
        <v>42</v>
      </c>
      <c r="E291" t="s">
        <v>17</v>
      </c>
      <c r="F291" s="1">
        <v>37</v>
      </c>
      <c r="G291" s="1" t="s">
        <v>437</v>
      </c>
      <c r="H291" s="5">
        <v>6850</v>
      </c>
      <c r="I291" t="s">
        <v>438</v>
      </c>
      <c r="J291" s="1">
        <v>3</v>
      </c>
      <c r="K291" s="1" t="s">
        <v>447</v>
      </c>
      <c r="L291">
        <v>72</v>
      </c>
      <c r="M291" t="s">
        <v>440</v>
      </c>
    </row>
    <row r="292" spans="1:13" x14ac:dyDescent="0.25">
      <c r="A292" t="s">
        <v>323</v>
      </c>
      <c r="B292" t="s">
        <v>25</v>
      </c>
      <c r="C292" t="s">
        <v>26</v>
      </c>
      <c r="D292" t="s">
        <v>34</v>
      </c>
      <c r="E292" t="s">
        <v>17</v>
      </c>
      <c r="F292" s="1">
        <v>69</v>
      </c>
      <c r="G292" s="1" t="s">
        <v>443</v>
      </c>
      <c r="H292" s="5">
        <v>3221</v>
      </c>
      <c r="I292" t="s">
        <v>438</v>
      </c>
      <c r="J292" s="1">
        <v>10</v>
      </c>
      <c r="K292" s="1" t="s">
        <v>439</v>
      </c>
      <c r="L292">
        <v>94</v>
      </c>
      <c r="M292" t="s">
        <v>440</v>
      </c>
    </row>
    <row r="293" spans="1:13" x14ac:dyDescent="0.25">
      <c r="A293" t="s">
        <v>324</v>
      </c>
      <c r="B293" t="s">
        <v>44</v>
      </c>
      <c r="C293" t="s">
        <v>40</v>
      </c>
      <c r="D293" t="s">
        <v>31</v>
      </c>
      <c r="E293" t="s">
        <v>13</v>
      </c>
      <c r="F293" s="1">
        <v>76</v>
      </c>
      <c r="G293" s="1" t="s">
        <v>443</v>
      </c>
      <c r="H293" s="5">
        <v>2460</v>
      </c>
      <c r="I293" t="s">
        <v>438</v>
      </c>
      <c r="J293" s="1">
        <v>2</v>
      </c>
      <c r="K293" s="1" t="s">
        <v>446</v>
      </c>
      <c r="L293">
        <v>53</v>
      </c>
      <c r="M293" t="s">
        <v>442</v>
      </c>
    </row>
    <row r="294" spans="1:13" x14ac:dyDescent="0.25">
      <c r="A294" t="s">
        <v>325</v>
      </c>
      <c r="B294" t="s">
        <v>10</v>
      </c>
      <c r="C294" t="s">
        <v>40</v>
      </c>
      <c r="D294" t="s">
        <v>60</v>
      </c>
      <c r="E294" t="s">
        <v>17</v>
      </c>
      <c r="F294" s="1">
        <v>53</v>
      </c>
      <c r="G294" s="1" t="s">
        <v>449</v>
      </c>
      <c r="H294" s="5">
        <v>3205</v>
      </c>
      <c r="I294" t="s">
        <v>438</v>
      </c>
      <c r="J294" s="1">
        <v>4</v>
      </c>
      <c r="K294" s="1" t="s">
        <v>447</v>
      </c>
      <c r="L294">
        <v>56</v>
      </c>
      <c r="M294" t="s">
        <v>442</v>
      </c>
    </row>
    <row r="295" spans="1:13" x14ac:dyDescent="0.25">
      <c r="A295" t="s">
        <v>326</v>
      </c>
      <c r="B295" t="s">
        <v>10</v>
      </c>
      <c r="C295" t="s">
        <v>40</v>
      </c>
      <c r="D295" t="s">
        <v>12</v>
      </c>
      <c r="E295" t="s">
        <v>13</v>
      </c>
      <c r="F295" s="1">
        <v>21</v>
      </c>
      <c r="G295" s="1" t="s">
        <v>450</v>
      </c>
      <c r="H295" s="5">
        <v>3833</v>
      </c>
      <c r="I295" t="s">
        <v>438</v>
      </c>
      <c r="J295" s="1">
        <v>4</v>
      </c>
      <c r="K295" s="1" t="s">
        <v>447</v>
      </c>
      <c r="L295">
        <v>80</v>
      </c>
      <c r="M295" t="s">
        <v>440</v>
      </c>
    </row>
    <row r="296" spans="1:13" x14ac:dyDescent="0.25">
      <c r="A296" t="s">
        <v>327</v>
      </c>
      <c r="B296" t="s">
        <v>10</v>
      </c>
      <c r="C296" t="s">
        <v>40</v>
      </c>
      <c r="D296" t="s">
        <v>27</v>
      </c>
      <c r="E296" t="s">
        <v>17</v>
      </c>
      <c r="F296" s="1">
        <v>83</v>
      </c>
      <c r="G296" s="1" t="s">
        <v>443</v>
      </c>
      <c r="H296" s="5">
        <v>984</v>
      </c>
      <c r="I296" t="s">
        <v>438</v>
      </c>
      <c r="J296" s="1">
        <v>1</v>
      </c>
      <c r="K296" s="1" t="s">
        <v>446</v>
      </c>
      <c r="L296">
        <v>91</v>
      </c>
      <c r="M296" t="s">
        <v>440</v>
      </c>
    </row>
    <row r="297" spans="1:13" x14ac:dyDescent="0.25">
      <c r="A297" t="s">
        <v>328</v>
      </c>
      <c r="B297" t="s">
        <v>19</v>
      </c>
      <c r="C297" t="s">
        <v>40</v>
      </c>
      <c r="D297" t="s">
        <v>20</v>
      </c>
      <c r="E297" t="s">
        <v>13</v>
      </c>
      <c r="F297" s="1">
        <v>5</v>
      </c>
      <c r="G297" s="1" t="s">
        <v>441</v>
      </c>
      <c r="H297" s="5">
        <v>1934</v>
      </c>
      <c r="I297" t="s">
        <v>438</v>
      </c>
      <c r="J297" s="1">
        <v>4</v>
      </c>
      <c r="K297" s="1" t="s">
        <v>447</v>
      </c>
      <c r="L297">
        <v>61</v>
      </c>
      <c r="M297" t="s">
        <v>442</v>
      </c>
    </row>
    <row r="298" spans="1:13" x14ac:dyDescent="0.25">
      <c r="A298" t="s">
        <v>329</v>
      </c>
      <c r="B298" t="s">
        <v>15</v>
      </c>
      <c r="C298" t="s">
        <v>23</v>
      </c>
      <c r="D298" t="s">
        <v>34</v>
      </c>
      <c r="E298" t="s">
        <v>17</v>
      </c>
      <c r="F298" s="1">
        <v>38</v>
      </c>
      <c r="G298" s="1" t="s">
        <v>437</v>
      </c>
      <c r="H298" s="5">
        <v>1995</v>
      </c>
      <c r="I298" t="s">
        <v>438</v>
      </c>
      <c r="J298" s="1">
        <v>1</v>
      </c>
      <c r="K298" s="1" t="s">
        <v>446</v>
      </c>
      <c r="L298">
        <v>50</v>
      </c>
      <c r="M298" t="s">
        <v>442</v>
      </c>
    </row>
    <row r="299" spans="1:13" x14ac:dyDescent="0.25">
      <c r="A299" t="s">
        <v>330</v>
      </c>
      <c r="B299" t="s">
        <v>44</v>
      </c>
      <c r="C299" t="s">
        <v>11</v>
      </c>
      <c r="D299" t="s">
        <v>29</v>
      </c>
      <c r="E299" t="s">
        <v>17</v>
      </c>
      <c r="F299" s="1">
        <v>83</v>
      </c>
      <c r="G299" s="1" t="s">
        <v>443</v>
      </c>
      <c r="H299" s="5">
        <v>13901</v>
      </c>
      <c r="I299" t="s">
        <v>444</v>
      </c>
      <c r="J299" s="1">
        <v>13</v>
      </c>
      <c r="K299" s="1" t="s">
        <v>445</v>
      </c>
      <c r="L299">
        <v>81</v>
      </c>
      <c r="M299" t="s">
        <v>440</v>
      </c>
    </row>
    <row r="300" spans="1:13" x14ac:dyDescent="0.25">
      <c r="A300" t="s">
        <v>331</v>
      </c>
      <c r="B300" t="s">
        <v>22</v>
      </c>
      <c r="C300" t="s">
        <v>23</v>
      </c>
      <c r="D300" t="s">
        <v>27</v>
      </c>
      <c r="E300" t="s">
        <v>17</v>
      </c>
      <c r="F300" s="1">
        <v>15</v>
      </c>
      <c r="G300" s="1" t="s">
        <v>451</v>
      </c>
      <c r="H300" s="5">
        <v>877</v>
      </c>
      <c r="I300" t="s">
        <v>438</v>
      </c>
      <c r="J300" s="1">
        <v>1</v>
      </c>
      <c r="K300" s="1" t="s">
        <v>446</v>
      </c>
      <c r="L300">
        <v>96</v>
      </c>
      <c r="M300" t="s">
        <v>440</v>
      </c>
    </row>
    <row r="301" spans="1:13" x14ac:dyDescent="0.25">
      <c r="A301" t="s">
        <v>332</v>
      </c>
      <c r="B301" t="s">
        <v>25</v>
      </c>
      <c r="C301" t="s">
        <v>26</v>
      </c>
      <c r="D301" t="s">
        <v>42</v>
      </c>
      <c r="E301" t="s">
        <v>17</v>
      </c>
      <c r="F301" s="1">
        <v>44</v>
      </c>
      <c r="G301" s="1" t="s">
        <v>437</v>
      </c>
      <c r="H301" s="5">
        <v>3416</v>
      </c>
      <c r="I301" t="s">
        <v>438</v>
      </c>
      <c r="J301" s="1">
        <v>5</v>
      </c>
      <c r="K301" s="1" t="s">
        <v>447</v>
      </c>
      <c r="L301">
        <v>61</v>
      </c>
      <c r="M301" t="s">
        <v>442</v>
      </c>
    </row>
    <row r="302" spans="1:13" x14ac:dyDescent="0.25">
      <c r="A302" t="s">
        <v>333</v>
      </c>
      <c r="B302" t="s">
        <v>19</v>
      </c>
      <c r="C302" t="s">
        <v>23</v>
      </c>
      <c r="D302" t="s">
        <v>47</v>
      </c>
      <c r="E302" t="s">
        <v>13</v>
      </c>
      <c r="F302" s="1">
        <v>12</v>
      </c>
      <c r="G302" s="1" t="s">
        <v>448</v>
      </c>
      <c r="H302" s="5">
        <v>1020</v>
      </c>
      <c r="I302" t="s">
        <v>438</v>
      </c>
      <c r="J302" s="1">
        <v>3</v>
      </c>
      <c r="K302" s="1" t="s">
        <v>447</v>
      </c>
      <c r="L302">
        <v>56</v>
      </c>
      <c r="M302" t="s">
        <v>442</v>
      </c>
    </row>
    <row r="303" spans="1:13" x14ac:dyDescent="0.25">
      <c r="A303" t="s">
        <v>334</v>
      </c>
      <c r="B303" t="s">
        <v>22</v>
      </c>
      <c r="C303" t="s">
        <v>40</v>
      </c>
      <c r="D303" t="s">
        <v>34</v>
      </c>
      <c r="E303" t="s">
        <v>17</v>
      </c>
      <c r="F303" s="1">
        <v>32</v>
      </c>
      <c r="G303" s="1" t="s">
        <v>437</v>
      </c>
      <c r="H303" s="5">
        <v>555</v>
      </c>
      <c r="I303" t="s">
        <v>438</v>
      </c>
      <c r="J303" s="1">
        <v>3</v>
      </c>
      <c r="K303" s="1" t="s">
        <v>447</v>
      </c>
      <c r="L303">
        <v>74</v>
      </c>
      <c r="M303" t="s">
        <v>440</v>
      </c>
    </row>
    <row r="304" spans="1:13" x14ac:dyDescent="0.25">
      <c r="A304" t="s">
        <v>335</v>
      </c>
      <c r="B304" t="s">
        <v>22</v>
      </c>
      <c r="C304" t="s">
        <v>23</v>
      </c>
      <c r="D304" t="s">
        <v>27</v>
      </c>
      <c r="E304" t="s">
        <v>13</v>
      </c>
      <c r="F304" s="1">
        <v>39</v>
      </c>
      <c r="G304" s="1" t="s">
        <v>437</v>
      </c>
      <c r="H304" s="5">
        <v>1392</v>
      </c>
      <c r="I304" t="s">
        <v>438</v>
      </c>
      <c r="J304" s="1">
        <v>3</v>
      </c>
      <c r="K304" s="1" t="s">
        <v>447</v>
      </c>
      <c r="L304">
        <v>86</v>
      </c>
      <c r="M304" t="s">
        <v>440</v>
      </c>
    </row>
    <row r="305" spans="1:13" x14ac:dyDescent="0.25">
      <c r="A305" t="s">
        <v>336</v>
      </c>
      <c r="B305" t="s">
        <v>15</v>
      </c>
      <c r="C305" t="s">
        <v>26</v>
      </c>
      <c r="D305" t="s">
        <v>29</v>
      </c>
      <c r="E305" t="s">
        <v>13</v>
      </c>
      <c r="F305" s="1">
        <v>8</v>
      </c>
      <c r="G305" s="1" t="s">
        <v>448</v>
      </c>
      <c r="H305" s="5">
        <v>6470</v>
      </c>
      <c r="I305" t="s">
        <v>438</v>
      </c>
      <c r="J305" s="1">
        <v>3</v>
      </c>
      <c r="K305" s="1" t="s">
        <v>447</v>
      </c>
      <c r="L305">
        <v>79</v>
      </c>
      <c r="M305" t="s">
        <v>440</v>
      </c>
    </row>
    <row r="306" spans="1:13" x14ac:dyDescent="0.25">
      <c r="A306" t="s">
        <v>337</v>
      </c>
      <c r="B306" t="s">
        <v>44</v>
      </c>
      <c r="C306" t="s">
        <v>40</v>
      </c>
      <c r="D306" t="s">
        <v>47</v>
      </c>
      <c r="E306" t="s">
        <v>13</v>
      </c>
      <c r="F306" s="1">
        <v>40</v>
      </c>
      <c r="G306" s="1" t="s">
        <v>437</v>
      </c>
      <c r="H306" s="5">
        <v>1461</v>
      </c>
      <c r="I306" t="s">
        <v>438</v>
      </c>
      <c r="J306" s="1">
        <v>3</v>
      </c>
      <c r="K306" s="1" t="s">
        <v>447</v>
      </c>
      <c r="L306">
        <v>73</v>
      </c>
      <c r="M306" t="s">
        <v>440</v>
      </c>
    </row>
    <row r="307" spans="1:13" x14ac:dyDescent="0.25">
      <c r="A307" t="s">
        <v>338</v>
      </c>
      <c r="B307" t="s">
        <v>19</v>
      </c>
      <c r="C307" t="s">
        <v>40</v>
      </c>
      <c r="D307" t="s">
        <v>60</v>
      </c>
      <c r="E307" t="s">
        <v>13</v>
      </c>
      <c r="F307" s="1">
        <v>62</v>
      </c>
      <c r="G307" s="1" t="s">
        <v>443</v>
      </c>
      <c r="H307" s="5">
        <v>1754</v>
      </c>
      <c r="I307" t="s">
        <v>438</v>
      </c>
      <c r="J307" s="1">
        <v>4</v>
      </c>
      <c r="K307" s="1" t="s">
        <v>447</v>
      </c>
      <c r="L307">
        <v>97</v>
      </c>
      <c r="M307" t="s">
        <v>440</v>
      </c>
    </row>
    <row r="308" spans="1:13" x14ac:dyDescent="0.25">
      <c r="A308" t="s">
        <v>339</v>
      </c>
      <c r="B308" t="s">
        <v>19</v>
      </c>
      <c r="C308" t="s">
        <v>26</v>
      </c>
      <c r="D308" t="s">
        <v>47</v>
      </c>
      <c r="E308" t="s">
        <v>13</v>
      </c>
      <c r="F308" s="1">
        <v>61</v>
      </c>
      <c r="G308" s="1" t="s">
        <v>443</v>
      </c>
      <c r="H308" s="5">
        <v>5403</v>
      </c>
      <c r="I308" t="s">
        <v>438</v>
      </c>
      <c r="J308" s="1">
        <v>5</v>
      </c>
      <c r="K308" s="1" t="s">
        <v>447</v>
      </c>
      <c r="L308">
        <v>98</v>
      </c>
      <c r="M308" t="s">
        <v>440</v>
      </c>
    </row>
    <row r="309" spans="1:13" x14ac:dyDescent="0.25">
      <c r="A309" t="s">
        <v>340</v>
      </c>
      <c r="B309" t="s">
        <v>22</v>
      </c>
      <c r="C309" t="s">
        <v>11</v>
      </c>
      <c r="D309" t="s">
        <v>20</v>
      </c>
      <c r="E309" t="s">
        <v>17</v>
      </c>
      <c r="F309" s="1">
        <v>47</v>
      </c>
      <c r="G309" s="1" t="s">
        <v>449</v>
      </c>
      <c r="H309" s="5">
        <v>6279</v>
      </c>
      <c r="I309" t="s">
        <v>438</v>
      </c>
      <c r="J309" s="1">
        <v>14</v>
      </c>
      <c r="K309" s="1" t="s">
        <v>445</v>
      </c>
      <c r="L309">
        <v>57</v>
      </c>
      <c r="M309" t="s">
        <v>442</v>
      </c>
    </row>
    <row r="310" spans="1:13" x14ac:dyDescent="0.25">
      <c r="A310" t="s">
        <v>341</v>
      </c>
      <c r="B310" t="s">
        <v>15</v>
      </c>
      <c r="C310" t="s">
        <v>40</v>
      </c>
      <c r="D310" t="s">
        <v>16</v>
      </c>
      <c r="E310" t="s">
        <v>13</v>
      </c>
      <c r="F310" s="1">
        <v>22</v>
      </c>
      <c r="G310" s="1" t="s">
        <v>450</v>
      </c>
      <c r="H310" s="5">
        <v>3187</v>
      </c>
      <c r="I310" t="s">
        <v>438</v>
      </c>
      <c r="J310" s="1">
        <v>5</v>
      </c>
      <c r="K310" s="1" t="s">
        <v>447</v>
      </c>
      <c r="L310">
        <v>78</v>
      </c>
      <c r="M310" t="s">
        <v>440</v>
      </c>
    </row>
    <row r="311" spans="1:13" x14ac:dyDescent="0.25">
      <c r="A311" t="s">
        <v>342</v>
      </c>
      <c r="B311" t="s">
        <v>15</v>
      </c>
      <c r="C311" t="s">
        <v>40</v>
      </c>
      <c r="D311" t="s">
        <v>16</v>
      </c>
      <c r="E311" t="s">
        <v>17</v>
      </c>
      <c r="F311" s="1">
        <v>66</v>
      </c>
      <c r="G311" s="1" t="s">
        <v>443</v>
      </c>
      <c r="H311" s="5">
        <v>4149</v>
      </c>
      <c r="I311" t="s">
        <v>438</v>
      </c>
      <c r="J311" s="1">
        <v>1</v>
      </c>
      <c r="K311" s="1" t="s">
        <v>446</v>
      </c>
      <c r="L311">
        <v>79</v>
      </c>
      <c r="M311" t="s">
        <v>440</v>
      </c>
    </row>
    <row r="312" spans="1:13" x14ac:dyDescent="0.25">
      <c r="A312" t="s">
        <v>343</v>
      </c>
      <c r="B312" t="s">
        <v>22</v>
      </c>
      <c r="C312" t="s">
        <v>23</v>
      </c>
      <c r="D312" t="s">
        <v>34</v>
      </c>
      <c r="E312" t="s">
        <v>13</v>
      </c>
      <c r="F312" s="1">
        <v>72</v>
      </c>
      <c r="G312" s="1" t="s">
        <v>443</v>
      </c>
      <c r="H312" s="5">
        <v>1146</v>
      </c>
      <c r="I312" t="s">
        <v>438</v>
      </c>
      <c r="J312" s="1">
        <v>3</v>
      </c>
      <c r="K312" s="1" t="s">
        <v>447</v>
      </c>
      <c r="L312">
        <v>69</v>
      </c>
      <c r="M312" t="s">
        <v>440</v>
      </c>
    </row>
    <row r="313" spans="1:13" x14ac:dyDescent="0.25">
      <c r="A313" t="s">
        <v>344</v>
      </c>
      <c r="B313" t="s">
        <v>10</v>
      </c>
      <c r="C313" t="s">
        <v>11</v>
      </c>
      <c r="D313" t="s">
        <v>47</v>
      </c>
      <c r="E313" t="s">
        <v>17</v>
      </c>
      <c r="F313" s="1">
        <v>1</v>
      </c>
      <c r="G313" s="1" t="s">
        <v>441</v>
      </c>
      <c r="H313" s="5">
        <v>17219</v>
      </c>
      <c r="I313" t="s">
        <v>444</v>
      </c>
      <c r="J313" s="1">
        <v>8</v>
      </c>
      <c r="K313" s="1" t="s">
        <v>439</v>
      </c>
      <c r="L313">
        <v>87</v>
      </c>
      <c r="M313" t="s">
        <v>440</v>
      </c>
    </row>
    <row r="314" spans="1:13" x14ac:dyDescent="0.25">
      <c r="A314" t="s">
        <v>345</v>
      </c>
      <c r="B314" t="s">
        <v>15</v>
      </c>
      <c r="C314" t="s">
        <v>11</v>
      </c>
      <c r="D314" t="s">
        <v>47</v>
      </c>
      <c r="E314" t="s">
        <v>17</v>
      </c>
      <c r="F314" s="1">
        <v>9</v>
      </c>
      <c r="G314" s="1" t="s">
        <v>448</v>
      </c>
      <c r="H314" s="5">
        <v>13866</v>
      </c>
      <c r="I314" t="s">
        <v>444</v>
      </c>
      <c r="J314" s="1">
        <v>5</v>
      </c>
      <c r="K314" s="1" t="s">
        <v>447</v>
      </c>
      <c r="L314">
        <v>54</v>
      </c>
      <c r="M314" t="s">
        <v>442</v>
      </c>
    </row>
    <row r="315" spans="1:13" x14ac:dyDescent="0.25">
      <c r="A315" t="s">
        <v>346</v>
      </c>
      <c r="B315" t="s">
        <v>25</v>
      </c>
      <c r="C315" t="s">
        <v>11</v>
      </c>
      <c r="D315" t="s">
        <v>27</v>
      </c>
      <c r="E315" t="s">
        <v>17</v>
      </c>
      <c r="F315" s="1">
        <v>18</v>
      </c>
      <c r="G315" s="1" t="s">
        <v>451</v>
      </c>
      <c r="H315" s="5">
        <v>17547</v>
      </c>
      <c r="I315" t="s">
        <v>444</v>
      </c>
      <c r="J315" s="1">
        <v>15</v>
      </c>
      <c r="K315" s="1" t="s">
        <v>445</v>
      </c>
      <c r="L315">
        <v>96</v>
      </c>
      <c r="M315" t="s">
        <v>440</v>
      </c>
    </row>
    <row r="316" spans="1:13" x14ac:dyDescent="0.25">
      <c r="A316" t="s">
        <v>347</v>
      </c>
      <c r="B316" t="s">
        <v>10</v>
      </c>
      <c r="C316" t="s">
        <v>23</v>
      </c>
      <c r="D316" t="s">
        <v>29</v>
      </c>
      <c r="E316" t="s">
        <v>37</v>
      </c>
      <c r="F316" s="1">
        <v>49</v>
      </c>
      <c r="G316" s="1" t="s">
        <v>449</v>
      </c>
      <c r="H316" s="5">
        <v>1118</v>
      </c>
      <c r="I316" t="s">
        <v>438</v>
      </c>
      <c r="J316" s="1">
        <v>2</v>
      </c>
      <c r="K316" s="1" t="s">
        <v>446</v>
      </c>
      <c r="L316">
        <v>74</v>
      </c>
      <c r="M316" t="s">
        <v>440</v>
      </c>
    </row>
    <row r="317" spans="1:13" x14ac:dyDescent="0.25">
      <c r="A317" t="s">
        <v>348</v>
      </c>
      <c r="B317" t="s">
        <v>15</v>
      </c>
      <c r="C317" t="s">
        <v>40</v>
      </c>
      <c r="D317" t="s">
        <v>29</v>
      </c>
      <c r="E317" t="s">
        <v>17</v>
      </c>
      <c r="F317" s="1">
        <v>69</v>
      </c>
      <c r="G317" s="1" t="s">
        <v>443</v>
      </c>
      <c r="H317" s="5">
        <v>3719</v>
      </c>
      <c r="I317" t="s">
        <v>438</v>
      </c>
      <c r="J317" s="1">
        <v>5</v>
      </c>
      <c r="K317" s="1" t="s">
        <v>447</v>
      </c>
      <c r="L317">
        <v>58</v>
      </c>
      <c r="M317" t="s">
        <v>442</v>
      </c>
    </row>
    <row r="318" spans="1:13" x14ac:dyDescent="0.25">
      <c r="A318" t="s">
        <v>349</v>
      </c>
      <c r="B318" t="s">
        <v>10</v>
      </c>
      <c r="C318" t="s">
        <v>40</v>
      </c>
      <c r="D318" t="s">
        <v>12</v>
      </c>
      <c r="E318" t="s">
        <v>13</v>
      </c>
      <c r="F318" s="1">
        <v>39</v>
      </c>
      <c r="G318" s="1" t="s">
        <v>437</v>
      </c>
      <c r="H318" s="5">
        <v>4292</v>
      </c>
      <c r="I318" t="s">
        <v>438</v>
      </c>
      <c r="J318" s="1">
        <v>5</v>
      </c>
      <c r="K318" s="1" t="s">
        <v>447</v>
      </c>
      <c r="L318">
        <v>77</v>
      </c>
      <c r="M318" t="s">
        <v>440</v>
      </c>
    </row>
    <row r="319" spans="1:13" x14ac:dyDescent="0.25">
      <c r="A319" t="s">
        <v>350</v>
      </c>
      <c r="B319" t="s">
        <v>19</v>
      </c>
      <c r="C319" t="s">
        <v>23</v>
      </c>
      <c r="D319" t="s">
        <v>60</v>
      </c>
      <c r="E319" t="s">
        <v>17</v>
      </c>
      <c r="F319" s="1">
        <v>45</v>
      </c>
      <c r="G319" s="1" t="s">
        <v>449</v>
      </c>
      <c r="H319" s="5">
        <v>517</v>
      </c>
      <c r="I319" t="s">
        <v>438</v>
      </c>
      <c r="J319" s="1">
        <v>2</v>
      </c>
      <c r="K319" s="1" t="s">
        <v>446</v>
      </c>
      <c r="L319">
        <v>62</v>
      </c>
      <c r="M319" t="s">
        <v>442</v>
      </c>
    </row>
    <row r="320" spans="1:13" x14ac:dyDescent="0.25">
      <c r="A320" t="s">
        <v>351</v>
      </c>
      <c r="B320" t="s">
        <v>10</v>
      </c>
      <c r="C320" t="s">
        <v>11</v>
      </c>
      <c r="D320" t="s">
        <v>12</v>
      </c>
      <c r="E320" t="s">
        <v>13</v>
      </c>
      <c r="F320" s="1">
        <v>54</v>
      </c>
      <c r="G320" s="1" t="s">
        <v>449</v>
      </c>
      <c r="H320" s="5">
        <v>15074</v>
      </c>
      <c r="I320" t="s">
        <v>444</v>
      </c>
      <c r="J320" s="1">
        <v>5</v>
      </c>
      <c r="K320" s="1" t="s">
        <v>447</v>
      </c>
      <c r="L320">
        <v>65</v>
      </c>
      <c r="M320" t="s">
        <v>442</v>
      </c>
    </row>
    <row r="321" spans="1:13" x14ac:dyDescent="0.25">
      <c r="A321" t="s">
        <v>352</v>
      </c>
      <c r="B321" t="s">
        <v>22</v>
      </c>
      <c r="C321" t="s">
        <v>11</v>
      </c>
      <c r="D321" t="s">
        <v>31</v>
      </c>
      <c r="E321" t="s">
        <v>13</v>
      </c>
      <c r="F321" s="1">
        <v>58</v>
      </c>
      <c r="G321" s="1" t="s">
        <v>449</v>
      </c>
      <c r="H321" s="5">
        <v>14794</v>
      </c>
      <c r="I321" t="s">
        <v>444</v>
      </c>
      <c r="J321" s="1">
        <v>15</v>
      </c>
      <c r="K321" s="1" t="s">
        <v>445</v>
      </c>
      <c r="L321">
        <v>95</v>
      </c>
      <c r="M321" t="s">
        <v>440</v>
      </c>
    </row>
    <row r="322" spans="1:13" x14ac:dyDescent="0.25">
      <c r="A322" t="s">
        <v>353</v>
      </c>
      <c r="B322" t="s">
        <v>49</v>
      </c>
      <c r="C322" t="s">
        <v>11</v>
      </c>
      <c r="D322" t="s">
        <v>60</v>
      </c>
      <c r="E322" t="s">
        <v>13</v>
      </c>
      <c r="F322" s="1">
        <v>52</v>
      </c>
      <c r="G322" s="1" t="s">
        <v>449</v>
      </c>
      <c r="H322" s="5">
        <v>12191</v>
      </c>
      <c r="I322" t="s">
        <v>444</v>
      </c>
      <c r="J322" s="1">
        <v>8</v>
      </c>
      <c r="K322" s="1" t="s">
        <v>439</v>
      </c>
      <c r="L322">
        <v>84</v>
      </c>
      <c r="M322" t="s">
        <v>440</v>
      </c>
    </row>
    <row r="323" spans="1:13" x14ac:dyDescent="0.25">
      <c r="A323" t="s">
        <v>354</v>
      </c>
      <c r="B323" t="s">
        <v>22</v>
      </c>
      <c r="C323" t="s">
        <v>11</v>
      </c>
      <c r="D323" t="s">
        <v>42</v>
      </c>
      <c r="E323" t="s">
        <v>13</v>
      </c>
      <c r="F323" s="1">
        <v>38</v>
      </c>
      <c r="G323" s="1" t="s">
        <v>437</v>
      </c>
      <c r="H323" s="5">
        <v>8836</v>
      </c>
      <c r="I323" t="s">
        <v>438</v>
      </c>
      <c r="J323" s="1">
        <v>14</v>
      </c>
      <c r="K323" s="1" t="s">
        <v>445</v>
      </c>
      <c r="L323">
        <v>70</v>
      </c>
      <c r="M323" t="s">
        <v>440</v>
      </c>
    </row>
    <row r="324" spans="1:13" x14ac:dyDescent="0.25">
      <c r="A324" t="s">
        <v>355</v>
      </c>
      <c r="B324" t="s">
        <v>19</v>
      </c>
      <c r="C324" t="s">
        <v>26</v>
      </c>
      <c r="D324" t="s">
        <v>60</v>
      </c>
      <c r="E324" t="s">
        <v>17</v>
      </c>
      <c r="F324" s="1">
        <v>19</v>
      </c>
      <c r="G324" s="1" t="s">
        <v>451</v>
      </c>
      <c r="H324" s="5">
        <v>6408</v>
      </c>
      <c r="I324" t="s">
        <v>438</v>
      </c>
      <c r="J324" s="1">
        <v>10</v>
      </c>
      <c r="K324" s="1" t="s">
        <v>439</v>
      </c>
      <c r="L324">
        <v>64</v>
      </c>
      <c r="M324" t="s">
        <v>442</v>
      </c>
    </row>
    <row r="325" spans="1:13" x14ac:dyDescent="0.25">
      <c r="A325" t="s">
        <v>356</v>
      </c>
      <c r="B325" t="s">
        <v>25</v>
      </c>
      <c r="C325" t="s">
        <v>26</v>
      </c>
      <c r="D325" t="s">
        <v>27</v>
      </c>
      <c r="E325" t="s">
        <v>17</v>
      </c>
      <c r="F325" s="1">
        <v>76</v>
      </c>
      <c r="G325" s="1" t="s">
        <v>443</v>
      </c>
      <c r="H325" s="5">
        <v>2434</v>
      </c>
      <c r="I325" t="s">
        <v>438</v>
      </c>
      <c r="J325" s="1">
        <v>8</v>
      </c>
      <c r="K325" s="1" t="s">
        <v>439</v>
      </c>
      <c r="L325">
        <v>85</v>
      </c>
      <c r="M325" t="s">
        <v>440</v>
      </c>
    </row>
    <row r="326" spans="1:13" x14ac:dyDescent="0.25">
      <c r="A326" t="s">
        <v>357</v>
      </c>
      <c r="B326" t="s">
        <v>25</v>
      </c>
      <c r="C326" t="s">
        <v>11</v>
      </c>
      <c r="D326" t="s">
        <v>29</v>
      </c>
      <c r="E326" t="s">
        <v>13</v>
      </c>
      <c r="F326" s="1">
        <v>86</v>
      </c>
      <c r="G326" s="1" t="s">
        <v>443</v>
      </c>
      <c r="H326" s="5">
        <v>11244</v>
      </c>
      <c r="I326" t="s">
        <v>444</v>
      </c>
      <c r="J326" s="1">
        <v>13</v>
      </c>
      <c r="K326" s="1" t="s">
        <v>445</v>
      </c>
      <c r="L326">
        <v>70</v>
      </c>
      <c r="M326" t="s">
        <v>440</v>
      </c>
    </row>
    <row r="327" spans="1:13" x14ac:dyDescent="0.25">
      <c r="A327" t="s">
        <v>358</v>
      </c>
      <c r="B327" t="s">
        <v>10</v>
      </c>
      <c r="C327" t="s">
        <v>23</v>
      </c>
      <c r="D327" t="s">
        <v>47</v>
      </c>
      <c r="E327" t="s">
        <v>17</v>
      </c>
      <c r="F327" s="1">
        <v>49</v>
      </c>
      <c r="G327" s="1" t="s">
        <v>449</v>
      </c>
      <c r="H327" s="5">
        <v>576</v>
      </c>
      <c r="I327" t="s">
        <v>438</v>
      </c>
      <c r="J327" s="1">
        <v>3</v>
      </c>
      <c r="K327" s="1" t="s">
        <v>447</v>
      </c>
      <c r="L327">
        <v>80</v>
      </c>
      <c r="M327" t="s">
        <v>440</v>
      </c>
    </row>
    <row r="328" spans="1:13" x14ac:dyDescent="0.25">
      <c r="A328" t="s">
        <v>359</v>
      </c>
      <c r="B328" t="s">
        <v>22</v>
      </c>
      <c r="C328" t="s">
        <v>40</v>
      </c>
      <c r="D328" t="s">
        <v>27</v>
      </c>
      <c r="E328" t="s">
        <v>13</v>
      </c>
      <c r="F328" s="1">
        <v>19</v>
      </c>
      <c r="G328" s="1" t="s">
        <v>451</v>
      </c>
      <c r="H328" s="5">
        <v>4293</v>
      </c>
      <c r="I328" t="s">
        <v>438</v>
      </c>
      <c r="J328" s="1">
        <v>1</v>
      </c>
      <c r="K328" s="1" t="s">
        <v>446</v>
      </c>
      <c r="L328">
        <v>85</v>
      </c>
      <c r="M328" t="s">
        <v>440</v>
      </c>
    </row>
    <row r="329" spans="1:13" x14ac:dyDescent="0.25">
      <c r="A329" t="s">
        <v>360</v>
      </c>
      <c r="B329" t="s">
        <v>25</v>
      </c>
      <c r="C329" t="s">
        <v>23</v>
      </c>
      <c r="D329" t="s">
        <v>20</v>
      </c>
      <c r="E329" t="s">
        <v>13</v>
      </c>
      <c r="F329" s="1">
        <v>50</v>
      </c>
      <c r="G329" s="1" t="s">
        <v>449</v>
      </c>
      <c r="H329" s="5">
        <v>697</v>
      </c>
      <c r="I329" t="s">
        <v>438</v>
      </c>
      <c r="J329" s="1">
        <v>2</v>
      </c>
      <c r="K329" s="1" t="s">
        <v>446</v>
      </c>
      <c r="L329">
        <v>63</v>
      </c>
      <c r="M329" t="s">
        <v>442</v>
      </c>
    </row>
    <row r="330" spans="1:13" x14ac:dyDescent="0.25">
      <c r="A330" t="s">
        <v>361</v>
      </c>
      <c r="B330" t="s">
        <v>44</v>
      </c>
      <c r="C330" t="s">
        <v>11</v>
      </c>
      <c r="D330" t="s">
        <v>34</v>
      </c>
      <c r="E330" t="s">
        <v>13</v>
      </c>
      <c r="F330" s="1">
        <v>12</v>
      </c>
      <c r="G330" s="1" t="s">
        <v>448</v>
      </c>
      <c r="H330" s="5">
        <v>13775</v>
      </c>
      <c r="I330" t="s">
        <v>444</v>
      </c>
      <c r="J330" s="1">
        <v>8</v>
      </c>
      <c r="K330" s="1" t="s">
        <v>439</v>
      </c>
      <c r="L330">
        <v>53</v>
      </c>
      <c r="M330" t="s">
        <v>442</v>
      </c>
    </row>
    <row r="331" spans="1:13" x14ac:dyDescent="0.25">
      <c r="A331" t="s">
        <v>362</v>
      </c>
      <c r="B331" t="s">
        <v>44</v>
      </c>
      <c r="C331" t="s">
        <v>23</v>
      </c>
      <c r="D331" t="s">
        <v>16</v>
      </c>
      <c r="E331" t="s">
        <v>13</v>
      </c>
      <c r="F331" s="1">
        <v>10</v>
      </c>
      <c r="G331" s="1" t="s">
        <v>448</v>
      </c>
      <c r="H331" s="5">
        <v>585</v>
      </c>
      <c r="I331" t="s">
        <v>438</v>
      </c>
      <c r="J331" s="1">
        <v>3</v>
      </c>
      <c r="K331" s="1" t="s">
        <v>447</v>
      </c>
      <c r="L331">
        <v>96</v>
      </c>
      <c r="M331" t="s">
        <v>440</v>
      </c>
    </row>
    <row r="332" spans="1:13" x14ac:dyDescent="0.25">
      <c r="A332" t="s">
        <v>363</v>
      </c>
      <c r="B332" t="s">
        <v>10</v>
      </c>
      <c r="C332" t="s">
        <v>40</v>
      </c>
      <c r="D332" t="s">
        <v>34</v>
      </c>
      <c r="E332" t="s">
        <v>17</v>
      </c>
      <c r="F332" s="1">
        <v>43</v>
      </c>
      <c r="G332" s="1" t="s">
        <v>437</v>
      </c>
      <c r="H332" s="5">
        <v>2983</v>
      </c>
      <c r="I332" t="s">
        <v>438</v>
      </c>
      <c r="J332" s="1">
        <v>1</v>
      </c>
      <c r="K332" s="1" t="s">
        <v>446</v>
      </c>
      <c r="L332">
        <v>63</v>
      </c>
      <c r="M332" t="s">
        <v>442</v>
      </c>
    </row>
    <row r="333" spans="1:13" x14ac:dyDescent="0.25">
      <c r="A333" t="s">
        <v>364</v>
      </c>
      <c r="B333" t="s">
        <v>22</v>
      </c>
      <c r="C333" t="s">
        <v>11</v>
      </c>
      <c r="D333" t="s">
        <v>34</v>
      </c>
      <c r="E333" t="s">
        <v>13</v>
      </c>
      <c r="F333" s="1">
        <v>90</v>
      </c>
      <c r="G333" s="1" t="s">
        <v>443</v>
      </c>
      <c r="H333" s="5">
        <v>14902</v>
      </c>
      <c r="I333" t="s">
        <v>444</v>
      </c>
      <c r="J333" s="1">
        <v>8</v>
      </c>
      <c r="K333" s="1" t="s">
        <v>439</v>
      </c>
      <c r="L333">
        <v>75</v>
      </c>
      <c r="M333" t="s">
        <v>440</v>
      </c>
    </row>
    <row r="334" spans="1:13" x14ac:dyDescent="0.25">
      <c r="A334" t="s">
        <v>365</v>
      </c>
      <c r="B334" t="s">
        <v>22</v>
      </c>
      <c r="C334" t="s">
        <v>26</v>
      </c>
      <c r="D334" t="s">
        <v>27</v>
      </c>
      <c r="E334" t="s">
        <v>17</v>
      </c>
      <c r="F334" s="1">
        <v>69</v>
      </c>
      <c r="G334" s="1" t="s">
        <v>443</v>
      </c>
      <c r="H334" s="5">
        <v>6314</v>
      </c>
      <c r="I334" t="s">
        <v>438</v>
      </c>
      <c r="J334" s="1">
        <v>7</v>
      </c>
      <c r="K334" s="1" t="s">
        <v>439</v>
      </c>
      <c r="L334">
        <v>69</v>
      </c>
      <c r="M334" t="s">
        <v>440</v>
      </c>
    </row>
    <row r="335" spans="1:13" x14ac:dyDescent="0.25">
      <c r="A335" t="s">
        <v>366</v>
      </c>
      <c r="B335" t="s">
        <v>44</v>
      </c>
      <c r="C335" t="s">
        <v>26</v>
      </c>
      <c r="D335" t="s">
        <v>20</v>
      </c>
      <c r="E335" t="s">
        <v>13</v>
      </c>
      <c r="F335" s="1">
        <v>60</v>
      </c>
      <c r="G335" s="1" t="s">
        <v>449</v>
      </c>
      <c r="H335" s="5">
        <v>1807</v>
      </c>
      <c r="I335" t="s">
        <v>438</v>
      </c>
      <c r="J335" s="1">
        <v>9</v>
      </c>
      <c r="K335" s="1" t="s">
        <v>439</v>
      </c>
      <c r="L335">
        <v>98</v>
      </c>
      <c r="M335" t="s">
        <v>440</v>
      </c>
    </row>
    <row r="336" spans="1:13" x14ac:dyDescent="0.25">
      <c r="A336" t="s">
        <v>367</v>
      </c>
      <c r="B336" t="s">
        <v>49</v>
      </c>
      <c r="C336" t="s">
        <v>26</v>
      </c>
      <c r="D336" t="s">
        <v>60</v>
      </c>
      <c r="E336" t="s">
        <v>17</v>
      </c>
      <c r="F336" s="1">
        <v>53</v>
      </c>
      <c r="G336" s="1" t="s">
        <v>449</v>
      </c>
      <c r="H336" s="5">
        <v>1374</v>
      </c>
      <c r="I336" t="s">
        <v>438</v>
      </c>
      <c r="J336" s="1">
        <v>5</v>
      </c>
      <c r="K336" s="1" t="s">
        <v>447</v>
      </c>
      <c r="L336">
        <v>97</v>
      </c>
      <c r="M336" t="s">
        <v>440</v>
      </c>
    </row>
    <row r="337" spans="1:13" x14ac:dyDescent="0.25">
      <c r="A337" t="s">
        <v>368</v>
      </c>
      <c r="B337" t="s">
        <v>22</v>
      </c>
      <c r="C337" t="s">
        <v>11</v>
      </c>
      <c r="D337" t="s">
        <v>27</v>
      </c>
      <c r="E337" t="s">
        <v>13</v>
      </c>
      <c r="F337" s="1">
        <v>75</v>
      </c>
      <c r="G337" s="1" t="s">
        <v>443</v>
      </c>
      <c r="H337" s="5">
        <v>14488</v>
      </c>
      <c r="I337" t="s">
        <v>444</v>
      </c>
      <c r="J337" s="1">
        <v>11</v>
      </c>
      <c r="K337" s="1" t="s">
        <v>445</v>
      </c>
      <c r="L337">
        <v>68</v>
      </c>
      <c r="M337" t="s">
        <v>440</v>
      </c>
    </row>
    <row r="338" spans="1:13" x14ac:dyDescent="0.25">
      <c r="A338" t="s">
        <v>369</v>
      </c>
      <c r="B338" t="s">
        <v>22</v>
      </c>
      <c r="C338" t="s">
        <v>40</v>
      </c>
      <c r="D338" t="s">
        <v>29</v>
      </c>
      <c r="E338" t="s">
        <v>17</v>
      </c>
      <c r="F338" s="1">
        <v>73</v>
      </c>
      <c r="G338" s="1" t="s">
        <v>443</v>
      </c>
      <c r="H338" s="5">
        <v>2513</v>
      </c>
      <c r="I338" t="s">
        <v>438</v>
      </c>
      <c r="J338" s="1">
        <v>4</v>
      </c>
      <c r="K338" s="1" t="s">
        <v>447</v>
      </c>
      <c r="L338">
        <v>85</v>
      </c>
      <c r="M338" t="s">
        <v>440</v>
      </c>
    </row>
    <row r="339" spans="1:13" x14ac:dyDescent="0.25">
      <c r="A339" t="s">
        <v>370</v>
      </c>
      <c r="B339" t="s">
        <v>10</v>
      </c>
      <c r="C339" t="s">
        <v>26</v>
      </c>
      <c r="D339" t="s">
        <v>27</v>
      </c>
      <c r="E339" t="s">
        <v>13</v>
      </c>
      <c r="F339" s="1">
        <v>63</v>
      </c>
      <c r="G339" s="1" t="s">
        <v>443</v>
      </c>
      <c r="H339" s="5">
        <v>6927</v>
      </c>
      <c r="I339" t="s">
        <v>438</v>
      </c>
      <c r="J339" s="1">
        <v>9</v>
      </c>
      <c r="K339" s="1" t="s">
        <v>439</v>
      </c>
      <c r="L339">
        <v>79</v>
      </c>
      <c r="M339" t="s">
        <v>440</v>
      </c>
    </row>
    <row r="340" spans="1:13" x14ac:dyDescent="0.25">
      <c r="A340" t="s">
        <v>371</v>
      </c>
      <c r="B340" t="s">
        <v>22</v>
      </c>
      <c r="C340" t="s">
        <v>26</v>
      </c>
      <c r="D340" t="s">
        <v>42</v>
      </c>
      <c r="E340" t="s">
        <v>17</v>
      </c>
      <c r="F340" s="1">
        <v>70</v>
      </c>
      <c r="G340" s="1" t="s">
        <v>443</v>
      </c>
      <c r="H340" s="5">
        <v>5000</v>
      </c>
      <c r="I340" t="s">
        <v>438</v>
      </c>
      <c r="J340" s="1">
        <v>4</v>
      </c>
      <c r="K340" s="1" t="s">
        <v>447</v>
      </c>
      <c r="L340">
        <v>84</v>
      </c>
      <c r="M340" t="s">
        <v>440</v>
      </c>
    </row>
    <row r="341" spans="1:13" x14ac:dyDescent="0.25">
      <c r="A341" t="s">
        <v>372</v>
      </c>
      <c r="B341" t="s">
        <v>10</v>
      </c>
      <c r="C341" t="s">
        <v>11</v>
      </c>
      <c r="D341" t="s">
        <v>20</v>
      </c>
      <c r="E341" t="s">
        <v>17</v>
      </c>
      <c r="F341" s="1">
        <v>10</v>
      </c>
      <c r="G341" s="1" t="s">
        <v>448</v>
      </c>
      <c r="H341" s="5">
        <v>18402</v>
      </c>
      <c r="I341" t="s">
        <v>444</v>
      </c>
      <c r="J341" s="1">
        <v>15</v>
      </c>
      <c r="K341" s="1" t="s">
        <v>445</v>
      </c>
      <c r="L341">
        <v>53</v>
      </c>
      <c r="M341" t="s">
        <v>442</v>
      </c>
    </row>
    <row r="342" spans="1:13" x14ac:dyDescent="0.25">
      <c r="A342" t="s">
        <v>373</v>
      </c>
      <c r="B342" t="s">
        <v>49</v>
      </c>
      <c r="C342" t="s">
        <v>11</v>
      </c>
      <c r="D342" t="s">
        <v>47</v>
      </c>
      <c r="E342" t="s">
        <v>17</v>
      </c>
      <c r="F342" s="1">
        <v>81</v>
      </c>
      <c r="G342" s="1" t="s">
        <v>443</v>
      </c>
      <c r="H342" s="5">
        <v>8791</v>
      </c>
      <c r="I342" t="s">
        <v>438</v>
      </c>
      <c r="J342" s="1">
        <v>6</v>
      </c>
      <c r="K342" s="1" t="s">
        <v>439</v>
      </c>
      <c r="L342">
        <v>95</v>
      </c>
      <c r="M342" t="s">
        <v>440</v>
      </c>
    </row>
    <row r="343" spans="1:13" x14ac:dyDescent="0.25">
      <c r="A343" t="s">
        <v>374</v>
      </c>
      <c r="B343" t="s">
        <v>22</v>
      </c>
      <c r="C343" t="s">
        <v>11</v>
      </c>
      <c r="D343" t="s">
        <v>60</v>
      </c>
      <c r="E343" t="s">
        <v>13</v>
      </c>
      <c r="F343" s="1">
        <v>48</v>
      </c>
      <c r="G343" s="1" t="s">
        <v>449</v>
      </c>
      <c r="H343" s="5">
        <v>5990</v>
      </c>
      <c r="I343" t="s">
        <v>438</v>
      </c>
      <c r="J343" s="1">
        <v>14</v>
      </c>
      <c r="K343" s="1" t="s">
        <v>445</v>
      </c>
      <c r="L343">
        <v>90</v>
      </c>
      <c r="M343" t="s">
        <v>440</v>
      </c>
    </row>
    <row r="344" spans="1:13" x14ac:dyDescent="0.25">
      <c r="A344" t="s">
        <v>375</v>
      </c>
      <c r="B344" t="s">
        <v>10</v>
      </c>
      <c r="C344" t="s">
        <v>23</v>
      </c>
      <c r="D344" t="s">
        <v>34</v>
      </c>
      <c r="E344" t="s">
        <v>17</v>
      </c>
      <c r="F344" s="1">
        <v>69</v>
      </c>
      <c r="G344" s="1" t="s">
        <v>443</v>
      </c>
      <c r="H344" s="5">
        <v>1329</v>
      </c>
      <c r="I344" t="s">
        <v>438</v>
      </c>
      <c r="J344" s="1">
        <v>2</v>
      </c>
      <c r="K344" s="1" t="s">
        <v>446</v>
      </c>
      <c r="L344">
        <v>50</v>
      </c>
      <c r="M344" t="s">
        <v>442</v>
      </c>
    </row>
    <row r="345" spans="1:13" x14ac:dyDescent="0.25">
      <c r="A345" t="s">
        <v>376</v>
      </c>
      <c r="B345" t="s">
        <v>15</v>
      </c>
      <c r="C345" t="s">
        <v>26</v>
      </c>
      <c r="D345" t="s">
        <v>20</v>
      </c>
      <c r="E345" t="s">
        <v>13</v>
      </c>
      <c r="F345" s="1">
        <v>3</v>
      </c>
      <c r="G345" s="1" t="s">
        <v>441</v>
      </c>
      <c r="H345" s="5">
        <v>5114</v>
      </c>
      <c r="I345" t="s">
        <v>438</v>
      </c>
      <c r="J345" s="1">
        <v>8</v>
      </c>
      <c r="K345" s="1" t="s">
        <v>439</v>
      </c>
      <c r="L345">
        <v>61</v>
      </c>
      <c r="M345" t="s">
        <v>442</v>
      </c>
    </row>
    <row r="346" spans="1:13" x14ac:dyDescent="0.25">
      <c r="A346" t="s">
        <v>377</v>
      </c>
      <c r="B346" t="s">
        <v>15</v>
      </c>
      <c r="C346" t="s">
        <v>11</v>
      </c>
      <c r="D346" t="s">
        <v>20</v>
      </c>
      <c r="E346" t="s">
        <v>17</v>
      </c>
      <c r="F346" s="1">
        <v>25</v>
      </c>
      <c r="G346" s="1" t="s">
        <v>450</v>
      </c>
      <c r="H346" s="5">
        <v>15154</v>
      </c>
      <c r="I346" t="s">
        <v>444</v>
      </c>
      <c r="J346" s="1">
        <v>13</v>
      </c>
      <c r="K346" s="1" t="s">
        <v>445</v>
      </c>
      <c r="L346">
        <v>66</v>
      </c>
      <c r="M346" t="s">
        <v>442</v>
      </c>
    </row>
    <row r="347" spans="1:13" x14ac:dyDescent="0.25">
      <c r="A347" t="s">
        <v>378</v>
      </c>
      <c r="B347" t="s">
        <v>49</v>
      </c>
      <c r="C347" t="s">
        <v>26</v>
      </c>
      <c r="D347" t="s">
        <v>27</v>
      </c>
      <c r="E347" t="s">
        <v>13</v>
      </c>
      <c r="F347" s="1">
        <v>11</v>
      </c>
      <c r="G347" s="1" t="s">
        <v>448</v>
      </c>
      <c r="H347" s="5">
        <v>4056</v>
      </c>
      <c r="I347" t="s">
        <v>438</v>
      </c>
      <c r="J347" s="1">
        <v>8</v>
      </c>
      <c r="K347" s="1" t="s">
        <v>439</v>
      </c>
      <c r="L347">
        <v>79</v>
      </c>
      <c r="M347" t="s">
        <v>440</v>
      </c>
    </row>
    <row r="348" spans="1:13" x14ac:dyDescent="0.25">
      <c r="A348" t="s">
        <v>379</v>
      </c>
      <c r="B348" t="s">
        <v>19</v>
      </c>
      <c r="C348" t="s">
        <v>40</v>
      </c>
      <c r="D348" t="s">
        <v>60</v>
      </c>
      <c r="E348" t="s">
        <v>17</v>
      </c>
      <c r="F348" s="1">
        <v>11</v>
      </c>
      <c r="G348" s="1" t="s">
        <v>448</v>
      </c>
      <c r="H348" s="5">
        <v>759</v>
      </c>
      <c r="I348" t="s">
        <v>438</v>
      </c>
      <c r="J348" s="1">
        <v>1</v>
      </c>
      <c r="K348" s="1" t="s">
        <v>446</v>
      </c>
      <c r="L348">
        <v>75</v>
      </c>
      <c r="M348" t="s">
        <v>440</v>
      </c>
    </row>
    <row r="349" spans="1:13" x14ac:dyDescent="0.25">
      <c r="A349" t="s">
        <v>380</v>
      </c>
      <c r="B349" t="s">
        <v>25</v>
      </c>
      <c r="C349" t="s">
        <v>23</v>
      </c>
      <c r="D349" t="s">
        <v>20</v>
      </c>
      <c r="E349" t="s">
        <v>17</v>
      </c>
      <c r="F349" s="1">
        <v>82</v>
      </c>
      <c r="G349" s="1" t="s">
        <v>443</v>
      </c>
      <c r="H349" s="5">
        <v>219</v>
      </c>
      <c r="I349" t="s">
        <v>438</v>
      </c>
      <c r="J349" s="1">
        <v>3</v>
      </c>
      <c r="K349" s="1" t="s">
        <v>447</v>
      </c>
      <c r="L349">
        <v>60</v>
      </c>
      <c r="M349" t="s">
        <v>442</v>
      </c>
    </row>
    <row r="350" spans="1:13" x14ac:dyDescent="0.25">
      <c r="A350" t="s">
        <v>381</v>
      </c>
      <c r="B350" t="s">
        <v>15</v>
      </c>
      <c r="C350" t="s">
        <v>23</v>
      </c>
      <c r="D350" t="s">
        <v>47</v>
      </c>
      <c r="E350" t="s">
        <v>13</v>
      </c>
      <c r="F350" s="1">
        <v>43</v>
      </c>
      <c r="G350" s="1" t="s">
        <v>437</v>
      </c>
      <c r="H350" s="5">
        <v>1358</v>
      </c>
      <c r="I350" t="s">
        <v>438</v>
      </c>
      <c r="J350" s="1">
        <v>1</v>
      </c>
      <c r="K350" s="1" t="s">
        <v>446</v>
      </c>
      <c r="L350">
        <v>83</v>
      </c>
      <c r="M350" t="s">
        <v>440</v>
      </c>
    </row>
    <row r="351" spans="1:13" x14ac:dyDescent="0.25">
      <c r="A351" t="s">
        <v>382</v>
      </c>
      <c r="B351" t="s">
        <v>15</v>
      </c>
      <c r="C351" t="s">
        <v>40</v>
      </c>
      <c r="D351" t="s">
        <v>60</v>
      </c>
      <c r="E351" t="s">
        <v>13</v>
      </c>
      <c r="F351" s="1">
        <v>89</v>
      </c>
      <c r="G351" s="1" t="s">
        <v>443</v>
      </c>
      <c r="H351" s="5">
        <v>4395</v>
      </c>
      <c r="I351" t="s">
        <v>438</v>
      </c>
      <c r="J351" s="1">
        <v>3</v>
      </c>
      <c r="K351" s="1" t="s">
        <v>447</v>
      </c>
      <c r="L351">
        <v>52</v>
      </c>
      <c r="M351" t="s">
        <v>442</v>
      </c>
    </row>
    <row r="352" spans="1:13" x14ac:dyDescent="0.25">
      <c r="A352" t="s">
        <v>383</v>
      </c>
      <c r="B352" t="s">
        <v>15</v>
      </c>
      <c r="C352" t="s">
        <v>26</v>
      </c>
      <c r="D352" t="s">
        <v>20</v>
      </c>
      <c r="E352" t="s">
        <v>13</v>
      </c>
      <c r="F352" s="1">
        <v>5</v>
      </c>
      <c r="G352" s="1" t="s">
        <v>441</v>
      </c>
      <c r="H352" s="5">
        <v>2469</v>
      </c>
      <c r="I352" t="s">
        <v>438</v>
      </c>
      <c r="J352" s="1">
        <v>7</v>
      </c>
      <c r="K352" s="1" t="s">
        <v>439</v>
      </c>
      <c r="L352">
        <v>51</v>
      </c>
      <c r="M352" t="s">
        <v>442</v>
      </c>
    </row>
    <row r="353" spans="1:13" x14ac:dyDescent="0.25">
      <c r="A353" t="s">
        <v>384</v>
      </c>
      <c r="B353" t="s">
        <v>22</v>
      </c>
      <c r="C353" t="s">
        <v>40</v>
      </c>
      <c r="D353" t="s">
        <v>47</v>
      </c>
      <c r="E353" t="s">
        <v>13</v>
      </c>
      <c r="F353" s="1">
        <v>39</v>
      </c>
      <c r="G353" s="1" t="s">
        <v>437</v>
      </c>
      <c r="H353" s="5">
        <v>1830</v>
      </c>
      <c r="I353" t="s">
        <v>438</v>
      </c>
      <c r="J353" s="1">
        <v>5</v>
      </c>
      <c r="K353" s="1" t="s">
        <v>447</v>
      </c>
      <c r="L353">
        <v>65</v>
      </c>
      <c r="M353" t="s">
        <v>442</v>
      </c>
    </row>
    <row r="354" spans="1:13" x14ac:dyDescent="0.25">
      <c r="A354" t="s">
        <v>385</v>
      </c>
      <c r="B354" t="s">
        <v>19</v>
      </c>
      <c r="C354" t="s">
        <v>23</v>
      </c>
      <c r="D354" t="s">
        <v>20</v>
      </c>
      <c r="E354" t="s">
        <v>17</v>
      </c>
      <c r="F354" s="1">
        <v>18</v>
      </c>
      <c r="G354" s="1" t="s">
        <v>451</v>
      </c>
      <c r="H354" s="5">
        <v>1818</v>
      </c>
      <c r="I354" t="s">
        <v>438</v>
      </c>
      <c r="J354" s="1">
        <v>3</v>
      </c>
      <c r="K354" s="1" t="s">
        <v>447</v>
      </c>
      <c r="L354">
        <v>96</v>
      </c>
      <c r="M354" t="s">
        <v>440</v>
      </c>
    </row>
    <row r="355" spans="1:13" x14ac:dyDescent="0.25">
      <c r="A355" t="s">
        <v>386</v>
      </c>
      <c r="B355" t="s">
        <v>15</v>
      </c>
      <c r="C355" t="s">
        <v>26</v>
      </c>
      <c r="D355" t="s">
        <v>12</v>
      </c>
      <c r="E355" t="s">
        <v>17</v>
      </c>
      <c r="F355" s="1">
        <v>30</v>
      </c>
      <c r="G355" s="1" t="s">
        <v>437</v>
      </c>
      <c r="H355" s="5">
        <v>1622</v>
      </c>
      <c r="I355" t="s">
        <v>438</v>
      </c>
      <c r="J355" s="1">
        <v>7</v>
      </c>
      <c r="K355" s="1" t="s">
        <v>439</v>
      </c>
      <c r="L355">
        <v>88</v>
      </c>
      <c r="M355" t="s">
        <v>440</v>
      </c>
    </row>
    <row r="356" spans="1:13" x14ac:dyDescent="0.25">
      <c r="A356" t="s">
        <v>387</v>
      </c>
      <c r="B356" t="s">
        <v>49</v>
      </c>
      <c r="C356" t="s">
        <v>23</v>
      </c>
      <c r="D356" t="s">
        <v>29</v>
      </c>
      <c r="E356" t="s">
        <v>17</v>
      </c>
      <c r="F356" s="1">
        <v>35</v>
      </c>
      <c r="G356" s="1" t="s">
        <v>437</v>
      </c>
      <c r="H356" s="5">
        <v>1804</v>
      </c>
      <c r="I356" t="s">
        <v>438</v>
      </c>
      <c r="J356" s="1">
        <v>2</v>
      </c>
      <c r="K356" s="1" t="s">
        <v>446</v>
      </c>
      <c r="L356">
        <v>81</v>
      </c>
      <c r="M356" t="s">
        <v>440</v>
      </c>
    </row>
    <row r="357" spans="1:13" x14ac:dyDescent="0.25">
      <c r="A357" t="s">
        <v>388</v>
      </c>
      <c r="B357" t="s">
        <v>22</v>
      </c>
      <c r="C357" t="s">
        <v>26</v>
      </c>
      <c r="D357" t="s">
        <v>20</v>
      </c>
      <c r="E357" t="s">
        <v>13</v>
      </c>
      <c r="F357" s="1">
        <v>56</v>
      </c>
      <c r="G357" s="1" t="s">
        <v>449</v>
      </c>
      <c r="H357" s="5">
        <v>2521</v>
      </c>
      <c r="I357" t="s">
        <v>438</v>
      </c>
      <c r="J357" s="1">
        <v>8</v>
      </c>
      <c r="K357" s="1" t="s">
        <v>439</v>
      </c>
      <c r="L357">
        <v>55</v>
      </c>
      <c r="M357" t="s">
        <v>442</v>
      </c>
    </row>
    <row r="358" spans="1:13" x14ac:dyDescent="0.25">
      <c r="A358" t="s">
        <v>389</v>
      </c>
      <c r="B358" t="s">
        <v>49</v>
      </c>
      <c r="C358" t="s">
        <v>26</v>
      </c>
      <c r="D358" t="s">
        <v>60</v>
      </c>
      <c r="E358" t="s">
        <v>13</v>
      </c>
      <c r="F358" s="1">
        <v>11</v>
      </c>
      <c r="G358" s="1" t="s">
        <v>448</v>
      </c>
      <c r="H358" s="5">
        <v>3195</v>
      </c>
      <c r="I358" t="s">
        <v>438</v>
      </c>
      <c r="J358" s="1">
        <v>4</v>
      </c>
      <c r="K358" s="1" t="s">
        <v>447</v>
      </c>
      <c r="L358">
        <v>74</v>
      </c>
      <c r="M358" t="s">
        <v>440</v>
      </c>
    </row>
    <row r="359" spans="1:13" x14ac:dyDescent="0.25">
      <c r="A359" t="s">
        <v>390</v>
      </c>
      <c r="B359" t="s">
        <v>10</v>
      </c>
      <c r="C359" t="s">
        <v>40</v>
      </c>
      <c r="D359" t="s">
        <v>47</v>
      </c>
      <c r="E359" t="s">
        <v>17</v>
      </c>
      <c r="F359" s="1">
        <v>14</v>
      </c>
      <c r="G359" s="1" t="s">
        <v>451</v>
      </c>
      <c r="H359" s="5">
        <v>1249</v>
      </c>
      <c r="I359" t="s">
        <v>438</v>
      </c>
      <c r="J359" s="1">
        <v>1</v>
      </c>
      <c r="K359" s="1" t="s">
        <v>446</v>
      </c>
      <c r="L359">
        <v>69</v>
      </c>
      <c r="M359" t="s">
        <v>440</v>
      </c>
    </row>
    <row r="360" spans="1:13" x14ac:dyDescent="0.25">
      <c r="A360" t="s">
        <v>391</v>
      </c>
      <c r="B360" t="s">
        <v>25</v>
      </c>
      <c r="C360" t="s">
        <v>26</v>
      </c>
      <c r="D360" t="s">
        <v>27</v>
      </c>
      <c r="E360" t="s">
        <v>17</v>
      </c>
      <c r="F360" s="1">
        <v>12</v>
      </c>
      <c r="G360" s="1" t="s">
        <v>448</v>
      </c>
      <c r="H360" s="5">
        <v>2535</v>
      </c>
      <c r="I360" t="s">
        <v>438</v>
      </c>
      <c r="J360" s="1">
        <v>8</v>
      </c>
      <c r="K360" s="1" t="s">
        <v>439</v>
      </c>
      <c r="L360">
        <v>78</v>
      </c>
      <c r="M360" t="s">
        <v>440</v>
      </c>
    </row>
    <row r="361" spans="1:13" x14ac:dyDescent="0.25">
      <c r="A361" t="s">
        <v>392</v>
      </c>
      <c r="B361" t="s">
        <v>19</v>
      </c>
      <c r="C361" t="s">
        <v>23</v>
      </c>
      <c r="D361" t="s">
        <v>31</v>
      </c>
      <c r="E361" t="s">
        <v>17</v>
      </c>
      <c r="F361" s="1">
        <v>46</v>
      </c>
      <c r="G361" s="1" t="s">
        <v>449</v>
      </c>
      <c r="H361" s="5">
        <v>1335</v>
      </c>
      <c r="I361" t="s">
        <v>438</v>
      </c>
      <c r="J361" s="1">
        <v>1</v>
      </c>
      <c r="K361" s="1" t="s">
        <v>446</v>
      </c>
      <c r="L361">
        <v>88</v>
      </c>
      <c r="M361" t="s">
        <v>440</v>
      </c>
    </row>
    <row r="362" spans="1:13" x14ac:dyDescent="0.25">
      <c r="A362" t="s">
        <v>393</v>
      </c>
      <c r="B362" t="s">
        <v>19</v>
      </c>
      <c r="C362" t="s">
        <v>26</v>
      </c>
      <c r="D362" t="s">
        <v>47</v>
      </c>
      <c r="E362" t="s">
        <v>17</v>
      </c>
      <c r="F362" s="1">
        <v>53</v>
      </c>
      <c r="G362" s="1" t="s">
        <v>449</v>
      </c>
      <c r="H362" s="5">
        <v>4176</v>
      </c>
      <c r="I362" t="s">
        <v>438</v>
      </c>
      <c r="J362" s="1">
        <v>3</v>
      </c>
      <c r="K362" s="1" t="s">
        <v>447</v>
      </c>
      <c r="L362">
        <v>96</v>
      </c>
      <c r="M362" t="s">
        <v>440</v>
      </c>
    </row>
    <row r="363" spans="1:13" x14ac:dyDescent="0.25">
      <c r="A363" t="s">
        <v>394</v>
      </c>
      <c r="B363" t="s">
        <v>19</v>
      </c>
      <c r="C363" t="s">
        <v>40</v>
      </c>
      <c r="D363" t="s">
        <v>16</v>
      </c>
      <c r="E363" t="s">
        <v>13</v>
      </c>
      <c r="F363" s="1">
        <v>88</v>
      </c>
      <c r="G363" s="1" t="s">
        <v>443</v>
      </c>
      <c r="H363" s="5">
        <v>3618</v>
      </c>
      <c r="I363" t="s">
        <v>438</v>
      </c>
      <c r="J363" s="1">
        <v>2</v>
      </c>
      <c r="K363" s="1" t="s">
        <v>446</v>
      </c>
      <c r="L363">
        <v>58</v>
      </c>
      <c r="M363" t="s">
        <v>442</v>
      </c>
    </row>
    <row r="364" spans="1:13" x14ac:dyDescent="0.25">
      <c r="A364" t="s">
        <v>395</v>
      </c>
      <c r="B364" t="s">
        <v>44</v>
      </c>
      <c r="C364" t="s">
        <v>26</v>
      </c>
      <c r="D364" t="s">
        <v>27</v>
      </c>
      <c r="E364" t="s">
        <v>13</v>
      </c>
      <c r="F364" s="1">
        <v>9</v>
      </c>
      <c r="G364" s="1" t="s">
        <v>448</v>
      </c>
      <c r="H364" s="5">
        <v>2369</v>
      </c>
      <c r="I364" t="s">
        <v>438</v>
      </c>
      <c r="J364" s="1">
        <v>8</v>
      </c>
      <c r="K364" s="1" t="s">
        <v>439</v>
      </c>
      <c r="L364">
        <v>67</v>
      </c>
      <c r="M364" t="s">
        <v>440</v>
      </c>
    </row>
    <row r="365" spans="1:13" x14ac:dyDescent="0.25">
      <c r="A365" t="s">
        <v>396</v>
      </c>
      <c r="B365" t="s">
        <v>25</v>
      </c>
      <c r="C365" t="s">
        <v>26</v>
      </c>
      <c r="D365" t="s">
        <v>34</v>
      </c>
      <c r="E365" t="s">
        <v>13</v>
      </c>
      <c r="F365" s="1">
        <v>47</v>
      </c>
      <c r="G365" s="1" t="s">
        <v>449</v>
      </c>
      <c r="H365" s="5">
        <v>3061</v>
      </c>
      <c r="I365" t="s">
        <v>438</v>
      </c>
      <c r="J365" s="1">
        <v>5</v>
      </c>
      <c r="K365" s="1" t="s">
        <v>447</v>
      </c>
      <c r="L365">
        <v>96</v>
      </c>
      <c r="M365" t="s">
        <v>440</v>
      </c>
    </row>
    <row r="366" spans="1:13" x14ac:dyDescent="0.25">
      <c r="A366" t="s">
        <v>397</v>
      </c>
      <c r="B366" t="s">
        <v>10</v>
      </c>
      <c r="C366" t="s">
        <v>23</v>
      </c>
      <c r="D366" t="s">
        <v>16</v>
      </c>
      <c r="E366" t="s">
        <v>13</v>
      </c>
      <c r="F366" s="1">
        <v>59</v>
      </c>
      <c r="G366" s="1" t="s">
        <v>449</v>
      </c>
      <c r="H366" s="5">
        <v>419</v>
      </c>
      <c r="I366" t="s">
        <v>438</v>
      </c>
      <c r="J366" s="1">
        <v>1</v>
      </c>
      <c r="K366" s="1" t="s">
        <v>446</v>
      </c>
      <c r="L366">
        <v>69</v>
      </c>
      <c r="M366" t="s">
        <v>440</v>
      </c>
    </row>
    <row r="367" spans="1:13" x14ac:dyDescent="0.25">
      <c r="A367" t="s">
        <v>398</v>
      </c>
      <c r="B367" t="s">
        <v>15</v>
      </c>
      <c r="C367" t="s">
        <v>23</v>
      </c>
      <c r="D367" t="s">
        <v>29</v>
      </c>
      <c r="E367" t="s">
        <v>13</v>
      </c>
      <c r="F367" s="1">
        <v>49</v>
      </c>
      <c r="G367" s="1" t="s">
        <v>449</v>
      </c>
      <c r="H367" s="5">
        <v>1846</v>
      </c>
      <c r="I367" t="s">
        <v>438</v>
      </c>
      <c r="J367" s="1">
        <v>2</v>
      </c>
      <c r="K367" s="1" t="s">
        <v>446</v>
      </c>
      <c r="L367">
        <v>78</v>
      </c>
      <c r="M367" t="s">
        <v>440</v>
      </c>
    </row>
    <row r="368" spans="1:13" x14ac:dyDescent="0.25">
      <c r="A368" t="s">
        <v>399</v>
      </c>
      <c r="B368" t="s">
        <v>44</v>
      </c>
      <c r="C368" t="s">
        <v>23</v>
      </c>
      <c r="D368" t="s">
        <v>16</v>
      </c>
      <c r="E368" t="s">
        <v>17</v>
      </c>
      <c r="F368" s="1">
        <v>42</v>
      </c>
      <c r="G368" s="1" t="s">
        <v>437</v>
      </c>
      <c r="H368" s="5">
        <v>1435</v>
      </c>
      <c r="I368" t="s">
        <v>438</v>
      </c>
      <c r="J368" s="1">
        <v>3</v>
      </c>
      <c r="K368" s="1" t="s">
        <v>447</v>
      </c>
      <c r="L368">
        <v>62</v>
      </c>
      <c r="M368" t="s">
        <v>442</v>
      </c>
    </row>
    <row r="369" spans="1:13" x14ac:dyDescent="0.25">
      <c r="A369" t="s">
        <v>400</v>
      </c>
      <c r="B369" t="s">
        <v>25</v>
      </c>
      <c r="C369" t="s">
        <v>26</v>
      </c>
      <c r="D369" t="s">
        <v>42</v>
      </c>
      <c r="E369" t="s">
        <v>13</v>
      </c>
      <c r="F369" s="1">
        <v>41</v>
      </c>
      <c r="G369" s="1" t="s">
        <v>437</v>
      </c>
      <c r="H369" s="5">
        <v>3387</v>
      </c>
      <c r="I369" t="s">
        <v>438</v>
      </c>
      <c r="J369" s="1">
        <v>9</v>
      </c>
      <c r="K369" s="1" t="s">
        <v>439</v>
      </c>
      <c r="L369">
        <v>86</v>
      </c>
      <c r="M369" t="s">
        <v>440</v>
      </c>
    </row>
    <row r="370" spans="1:13" x14ac:dyDescent="0.25">
      <c r="A370" t="s">
        <v>401</v>
      </c>
      <c r="B370" t="s">
        <v>49</v>
      </c>
      <c r="C370" t="s">
        <v>40</v>
      </c>
      <c r="D370" t="s">
        <v>29</v>
      </c>
      <c r="E370" t="s">
        <v>17</v>
      </c>
      <c r="F370" s="1">
        <v>51</v>
      </c>
      <c r="G370" s="1" t="s">
        <v>449</v>
      </c>
      <c r="H370" s="5">
        <v>3490</v>
      </c>
      <c r="I370" t="s">
        <v>438</v>
      </c>
      <c r="J370" s="1">
        <v>1</v>
      </c>
      <c r="K370" s="1" t="s">
        <v>446</v>
      </c>
      <c r="L370">
        <v>86</v>
      </c>
      <c r="M370" t="s">
        <v>440</v>
      </c>
    </row>
    <row r="371" spans="1:13" x14ac:dyDescent="0.25">
      <c r="A371" t="s">
        <v>402</v>
      </c>
      <c r="B371" t="s">
        <v>22</v>
      </c>
      <c r="C371" t="s">
        <v>40</v>
      </c>
      <c r="D371" t="s">
        <v>20</v>
      </c>
      <c r="E371" t="s">
        <v>17</v>
      </c>
      <c r="F371" s="1">
        <v>60</v>
      </c>
      <c r="G371" s="1" t="s">
        <v>449</v>
      </c>
      <c r="H371" s="5">
        <v>2217</v>
      </c>
      <c r="I371" t="s">
        <v>438</v>
      </c>
      <c r="J371" s="1">
        <v>4</v>
      </c>
      <c r="K371" s="1" t="s">
        <v>447</v>
      </c>
      <c r="L371">
        <v>68</v>
      </c>
      <c r="M371" t="s">
        <v>440</v>
      </c>
    </row>
    <row r="372" spans="1:13" x14ac:dyDescent="0.25">
      <c r="A372" t="s">
        <v>403</v>
      </c>
      <c r="B372" t="s">
        <v>49</v>
      </c>
      <c r="C372" t="s">
        <v>11</v>
      </c>
      <c r="D372" t="s">
        <v>47</v>
      </c>
      <c r="E372" t="s">
        <v>13</v>
      </c>
      <c r="F372" s="1">
        <v>18</v>
      </c>
      <c r="G372" s="1" t="s">
        <v>451</v>
      </c>
      <c r="H372" s="5">
        <v>15376</v>
      </c>
      <c r="I372" t="s">
        <v>444</v>
      </c>
      <c r="J372" s="1">
        <v>9</v>
      </c>
      <c r="K372" s="1" t="s">
        <v>439</v>
      </c>
      <c r="L372">
        <v>65</v>
      </c>
      <c r="M372" t="s">
        <v>442</v>
      </c>
    </row>
    <row r="373" spans="1:13" x14ac:dyDescent="0.25">
      <c r="A373" t="s">
        <v>404</v>
      </c>
      <c r="B373" t="s">
        <v>44</v>
      </c>
      <c r="C373" t="s">
        <v>40</v>
      </c>
      <c r="D373" t="s">
        <v>47</v>
      </c>
      <c r="E373" t="s">
        <v>13</v>
      </c>
      <c r="F373" s="1">
        <v>10</v>
      </c>
      <c r="G373" s="1" t="s">
        <v>448</v>
      </c>
      <c r="H373" s="5">
        <v>4178</v>
      </c>
      <c r="I373" t="s">
        <v>438</v>
      </c>
      <c r="J373" s="1">
        <v>5</v>
      </c>
      <c r="K373" s="1" t="s">
        <v>447</v>
      </c>
      <c r="L373">
        <v>80</v>
      </c>
      <c r="M373" t="s">
        <v>440</v>
      </c>
    </row>
    <row r="374" spans="1:13" x14ac:dyDescent="0.25">
      <c r="A374" t="s">
        <v>405</v>
      </c>
      <c r="B374" t="s">
        <v>19</v>
      </c>
      <c r="C374" t="s">
        <v>23</v>
      </c>
      <c r="D374" t="s">
        <v>20</v>
      </c>
      <c r="E374" t="s">
        <v>13</v>
      </c>
      <c r="F374" s="1">
        <v>89</v>
      </c>
      <c r="G374" s="1" t="s">
        <v>443</v>
      </c>
      <c r="H374" s="5">
        <v>1056</v>
      </c>
      <c r="I374" t="s">
        <v>438</v>
      </c>
      <c r="J374" s="1">
        <v>3</v>
      </c>
      <c r="K374" s="1" t="s">
        <v>447</v>
      </c>
      <c r="L374">
        <v>52</v>
      </c>
      <c r="M374" t="s">
        <v>442</v>
      </c>
    </row>
    <row r="375" spans="1:13" x14ac:dyDescent="0.25">
      <c r="A375" t="s">
        <v>406</v>
      </c>
      <c r="B375" t="s">
        <v>49</v>
      </c>
      <c r="C375" t="s">
        <v>26</v>
      </c>
      <c r="D375" t="s">
        <v>20</v>
      </c>
      <c r="E375" t="s">
        <v>13</v>
      </c>
      <c r="F375" s="1">
        <v>11</v>
      </c>
      <c r="G375" s="1" t="s">
        <v>448</v>
      </c>
      <c r="H375" s="5">
        <v>1895</v>
      </c>
      <c r="I375" t="s">
        <v>438</v>
      </c>
      <c r="J375" s="1">
        <v>5</v>
      </c>
      <c r="K375" s="1" t="s">
        <v>447</v>
      </c>
      <c r="L375">
        <v>92</v>
      </c>
      <c r="M375" t="s">
        <v>440</v>
      </c>
    </row>
    <row r="376" spans="1:13" x14ac:dyDescent="0.25">
      <c r="A376" t="s">
        <v>407</v>
      </c>
      <c r="B376" t="s">
        <v>10</v>
      </c>
      <c r="C376" t="s">
        <v>26</v>
      </c>
      <c r="D376" t="s">
        <v>42</v>
      </c>
      <c r="E376" t="s">
        <v>13</v>
      </c>
      <c r="F376" s="1">
        <v>6</v>
      </c>
      <c r="G376" s="1" t="s">
        <v>448</v>
      </c>
      <c r="H376" s="5">
        <v>5613</v>
      </c>
      <c r="I376" t="s">
        <v>438</v>
      </c>
      <c r="J376" s="1">
        <v>8</v>
      </c>
      <c r="K376" s="1" t="s">
        <v>439</v>
      </c>
      <c r="L376">
        <v>98</v>
      </c>
      <c r="M376" t="s">
        <v>440</v>
      </c>
    </row>
    <row r="377" spans="1:13" x14ac:dyDescent="0.25">
      <c r="A377" t="s">
        <v>408</v>
      </c>
      <c r="B377" t="s">
        <v>44</v>
      </c>
      <c r="C377" t="s">
        <v>23</v>
      </c>
      <c r="D377" t="s">
        <v>31</v>
      </c>
      <c r="E377" t="s">
        <v>17</v>
      </c>
      <c r="F377" s="1">
        <v>34</v>
      </c>
      <c r="G377" s="1" t="s">
        <v>437</v>
      </c>
      <c r="H377" s="5">
        <v>654</v>
      </c>
      <c r="I377" t="s">
        <v>438</v>
      </c>
      <c r="J377" s="1">
        <v>3</v>
      </c>
      <c r="K377" s="1" t="s">
        <v>447</v>
      </c>
      <c r="L377">
        <v>97</v>
      </c>
      <c r="M377" t="s">
        <v>440</v>
      </c>
    </row>
    <row r="378" spans="1:13" x14ac:dyDescent="0.25">
      <c r="A378" t="s">
        <v>409</v>
      </c>
      <c r="B378" t="s">
        <v>19</v>
      </c>
      <c r="C378" t="s">
        <v>40</v>
      </c>
      <c r="D378" t="s">
        <v>34</v>
      </c>
      <c r="E378" t="s">
        <v>17</v>
      </c>
      <c r="F378" s="1">
        <v>60</v>
      </c>
      <c r="G378" s="1" t="s">
        <v>449</v>
      </c>
      <c r="H378" s="5">
        <v>4599</v>
      </c>
      <c r="I378" t="s">
        <v>438</v>
      </c>
      <c r="J378" s="1">
        <v>2</v>
      </c>
      <c r="K378" s="1" t="s">
        <v>446</v>
      </c>
      <c r="L378">
        <v>72</v>
      </c>
      <c r="M378" t="s">
        <v>440</v>
      </c>
    </row>
    <row r="379" spans="1:13" x14ac:dyDescent="0.25">
      <c r="A379" t="s">
        <v>410</v>
      </c>
      <c r="B379" t="s">
        <v>15</v>
      </c>
      <c r="C379" t="s">
        <v>23</v>
      </c>
      <c r="D379" t="s">
        <v>31</v>
      </c>
      <c r="E379" t="s">
        <v>17</v>
      </c>
      <c r="F379" s="1">
        <v>11</v>
      </c>
      <c r="G379" s="1" t="s">
        <v>448</v>
      </c>
      <c r="H379" s="5">
        <v>437</v>
      </c>
      <c r="I379" t="s">
        <v>438</v>
      </c>
      <c r="J379" s="1">
        <v>3</v>
      </c>
      <c r="K379" s="1" t="s">
        <v>447</v>
      </c>
      <c r="L379">
        <v>59</v>
      </c>
      <c r="M379" t="s">
        <v>442</v>
      </c>
    </row>
    <row r="380" spans="1:13" x14ac:dyDescent="0.25">
      <c r="A380" t="s">
        <v>411</v>
      </c>
      <c r="B380" t="s">
        <v>44</v>
      </c>
      <c r="C380" t="s">
        <v>26</v>
      </c>
      <c r="D380" t="s">
        <v>29</v>
      </c>
      <c r="E380" t="s">
        <v>17</v>
      </c>
      <c r="F380" s="1">
        <v>27</v>
      </c>
      <c r="G380" s="1" t="s">
        <v>450</v>
      </c>
      <c r="H380" s="5">
        <v>5268</v>
      </c>
      <c r="I380" t="s">
        <v>438</v>
      </c>
      <c r="J380" s="1">
        <v>9</v>
      </c>
      <c r="K380" s="1" t="s">
        <v>439</v>
      </c>
      <c r="L380">
        <v>72</v>
      </c>
      <c r="M380" t="s">
        <v>440</v>
      </c>
    </row>
    <row r="381" spans="1:13" x14ac:dyDescent="0.25">
      <c r="A381" t="s">
        <v>412</v>
      </c>
      <c r="B381" t="s">
        <v>25</v>
      </c>
      <c r="C381" t="s">
        <v>11</v>
      </c>
      <c r="D381" t="s">
        <v>34</v>
      </c>
      <c r="E381" t="s">
        <v>13</v>
      </c>
      <c r="F381" s="1">
        <v>58</v>
      </c>
      <c r="G381" s="1" t="s">
        <v>449</v>
      </c>
      <c r="H381" s="5">
        <v>10225</v>
      </c>
      <c r="I381" t="s">
        <v>444</v>
      </c>
      <c r="J381" s="1">
        <v>6</v>
      </c>
      <c r="K381" s="1" t="s">
        <v>439</v>
      </c>
      <c r="L381">
        <v>69</v>
      </c>
      <c r="M381" t="s">
        <v>440</v>
      </c>
    </row>
    <row r="382" spans="1:13" x14ac:dyDescent="0.25">
      <c r="A382" t="s">
        <v>413</v>
      </c>
      <c r="B382" t="s">
        <v>15</v>
      </c>
      <c r="C382" t="s">
        <v>11</v>
      </c>
      <c r="D382" t="s">
        <v>12</v>
      </c>
      <c r="E382" t="s">
        <v>13</v>
      </c>
      <c r="F382" s="1">
        <v>83</v>
      </c>
      <c r="G382" s="1" t="s">
        <v>443</v>
      </c>
      <c r="H382" s="5">
        <v>6791</v>
      </c>
      <c r="I382" t="s">
        <v>438</v>
      </c>
      <c r="J382" s="1">
        <v>15</v>
      </c>
      <c r="K382" s="1" t="s">
        <v>445</v>
      </c>
      <c r="L382">
        <v>60</v>
      </c>
      <c r="M382" t="s">
        <v>442</v>
      </c>
    </row>
    <row r="383" spans="1:13" x14ac:dyDescent="0.25">
      <c r="A383" t="s">
        <v>414</v>
      </c>
      <c r="B383" t="s">
        <v>10</v>
      </c>
      <c r="C383" t="s">
        <v>40</v>
      </c>
      <c r="D383" t="s">
        <v>20</v>
      </c>
      <c r="E383" t="s">
        <v>17</v>
      </c>
      <c r="F383" s="1">
        <v>21</v>
      </c>
      <c r="G383" s="1" t="s">
        <v>450</v>
      </c>
      <c r="H383" s="5">
        <v>3211</v>
      </c>
      <c r="I383" t="s">
        <v>438</v>
      </c>
      <c r="J383" s="1">
        <v>5</v>
      </c>
      <c r="K383" s="1" t="s">
        <v>447</v>
      </c>
      <c r="L383">
        <v>77</v>
      </c>
      <c r="M383" t="s">
        <v>440</v>
      </c>
    </row>
    <row r="384" spans="1:13" x14ac:dyDescent="0.25">
      <c r="A384" t="s">
        <v>415</v>
      </c>
      <c r="B384" t="s">
        <v>25</v>
      </c>
      <c r="C384" t="s">
        <v>40</v>
      </c>
      <c r="D384" t="s">
        <v>47</v>
      </c>
      <c r="E384" t="s">
        <v>13</v>
      </c>
      <c r="F384" s="1">
        <v>24</v>
      </c>
      <c r="G384" s="1" t="s">
        <v>450</v>
      </c>
      <c r="H384" s="5">
        <v>4040</v>
      </c>
      <c r="I384" t="s">
        <v>438</v>
      </c>
      <c r="J384" s="1">
        <v>4</v>
      </c>
      <c r="K384" s="1" t="s">
        <v>447</v>
      </c>
      <c r="L384">
        <v>51</v>
      </c>
      <c r="M384" t="s">
        <v>442</v>
      </c>
    </row>
    <row r="385" spans="1:13" x14ac:dyDescent="0.25">
      <c r="A385" t="s">
        <v>416</v>
      </c>
      <c r="B385" t="s">
        <v>10</v>
      </c>
      <c r="C385" t="s">
        <v>40</v>
      </c>
      <c r="D385" t="s">
        <v>34</v>
      </c>
      <c r="E385" t="s">
        <v>13</v>
      </c>
      <c r="F385" s="1">
        <v>50</v>
      </c>
      <c r="G385" s="1" t="s">
        <v>449</v>
      </c>
      <c r="H385" s="5">
        <v>536</v>
      </c>
      <c r="I385" t="s">
        <v>438</v>
      </c>
      <c r="J385" s="1">
        <v>2</v>
      </c>
      <c r="K385" s="1" t="s">
        <v>446</v>
      </c>
      <c r="L385">
        <v>63</v>
      </c>
      <c r="M385" t="s">
        <v>442</v>
      </c>
    </row>
    <row r="386" spans="1:13" x14ac:dyDescent="0.25">
      <c r="A386" t="s">
        <v>417</v>
      </c>
      <c r="B386" t="s">
        <v>44</v>
      </c>
      <c r="C386" t="s">
        <v>11</v>
      </c>
      <c r="D386" t="s">
        <v>16</v>
      </c>
      <c r="E386" t="s">
        <v>17</v>
      </c>
      <c r="F386" s="1">
        <v>69</v>
      </c>
      <c r="G386" s="1" t="s">
        <v>443</v>
      </c>
      <c r="H386" s="5">
        <v>8063</v>
      </c>
      <c r="I386" t="s">
        <v>438</v>
      </c>
      <c r="J386" s="1">
        <v>10</v>
      </c>
      <c r="K386" s="1" t="s">
        <v>439</v>
      </c>
      <c r="L386">
        <v>70</v>
      </c>
      <c r="M386" t="s">
        <v>440</v>
      </c>
    </row>
    <row r="387" spans="1:13" x14ac:dyDescent="0.25">
      <c r="A387" t="s">
        <v>418</v>
      </c>
      <c r="B387" t="s">
        <v>22</v>
      </c>
      <c r="C387" t="s">
        <v>23</v>
      </c>
      <c r="D387" t="s">
        <v>31</v>
      </c>
      <c r="E387" t="s">
        <v>17</v>
      </c>
      <c r="F387" s="1">
        <v>63</v>
      </c>
      <c r="G387" s="1" t="s">
        <v>443</v>
      </c>
      <c r="H387" s="5">
        <v>1280</v>
      </c>
      <c r="I387" t="s">
        <v>438</v>
      </c>
      <c r="J387" s="1">
        <v>3</v>
      </c>
      <c r="K387" s="1" t="s">
        <v>447</v>
      </c>
      <c r="L387">
        <v>70</v>
      </c>
      <c r="M387" t="s">
        <v>440</v>
      </c>
    </row>
    <row r="388" spans="1:13" x14ac:dyDescent="0.25">
      <c r="A388" t="s">
        <v>419</v>
      </c>
      <c r="B388" t="s">
        <v>19</v>
      </c>
      <c r="C388" t="s">
        <v>23</v>
      </c>
      <c r="D388" t="s">
        <v>16</v>
      </c>
      <c r="E388" t="s">
        <v>17</v>
      </c>
      <c r="F388" s="1">
        <v>15</v>
      </c>
      <c r="G388" s="1" t="s">
        <v>451</v>
      </c>
      <c r="H388" s="5">
        <v>912</v>
      </c>
      <c r="I388" t="s">
        <v>438</v>
      </c>
      <c r="J388" s="1">
        <v>2</v>
      </c>
      <c r="K388" s="1" t="s">
        <v>446</v>
      </c>
      <c r="L388">
        <v>79</v>
      </c>
      <c r="M388" t="s">
        <v>440</v>
      </c>
    </row>
    <row r="389" spans="1:13" x14ac:dyDescent="0.25">
      <c r="A389" t="s">
        <v>420</v>
      </c>
      <c r="B389" t="s">
        <v>19</v>
      </c>
      <c r="C389" t="s">
        <v>40</v>
      </c>
      <c r="D389" t="s">
        <v>27</v>
      </c>
      <c r="E389" t="s">
        <v>13</v>
      </c>
      <c r="F389" s="1">
        <v>76</v>
      </c>
      <c r="G389" s="1" t="s">
        <v>443</v>
      </c>
      <c r="H389" s="5">
        <v>1194</v>
      </c>
      <c r="I389" t="s">
        <v>438</v>
      </c>
      <c r="J389" s="1">
        <v>2</v>
      </c>
      <c r="K389" s="1" t="s">
        <v>446</v>
      </c>
      <c r="L389">
        <v>70</v>
      </c>
      <c r="M389" t="s">
        <v>440</v>
      </c>
    </row>
    <row r="390" spans="1:13" x14ac:dyDescent="0.25">
      <c r="A390" t="s">
        <v>421</v>
      </c>
      <c r="B390" t="s">
        <v>15</v>
      </c>
      <c r="C390" t="s">
        <v>40</v>
      </c>
      <c r="D390" t="s">
        <v>27</v>
      </c>
      <c r="E390" t="s">
        <v>17</v>
      </c>
      <c r="F390" s="1">
        <v>48</v>
      </c>
      <c r="G390" s="1" t="s">
        <v>449</v>
      </c>
      <c r="H390" s="5">
        <v>1658</v>
      </c>
      <c r="I390" t="s">
        <v>438</v>
      </c>
      <c r="J390" s="1">
        <v>5</v>
      </c>
      <c r="K390" s="1" t="s">
        <v>447</v>
      </c>
      <c r="L390">
        <v>74</v>
      </c>
      <c r="M390" t="s">
        <v>440</v>
      </c>
    </row>
    <row r="391" spans="1:13" x14ac:dyDescent="0.25">
      <c r="A391" t="s">
        <v>422</v>
      </c>
      <c r="B391" t="s">
        <v>25</v>
      </c>
      <c r="C391" t="s">
        <v>40</v>
      </c>
      <c r="D391" t="s">
        <v>16</v>
      </c>
      <c r="E391" t="s">
        <v>17</v>
      </c>
      <c r="F391" s="1">
        <v>24</v>
      </c>
      <c r="G391" s="1" t="s">
        <v>450</v>
      </c>
      <c r="H391" s="5">
        <v>4486</v>
      </c>
      <c r="I391" t="s">
        <v>438</v>
      </c>
      <c r="J391" s="1">
        <v>5</v>
      </c>
      <c r="K391" s="1" t="s">
        <v>447</v>
      </c>
      <c r="L391">
        <v>94</v>
      </c>
      <c r="M391" t="s">
        <v>440</v>
      </c>
    </row>
    <row r="392" spans="1:13" x14ac:dyDescent="0.25">
      <c r="A392" t="s">
        <v>423</v>
      </c>
      <c r="B392" t="s">
        <v>10</v>
      </c>
      <c r="C392" t="s">
        <v>40</v>
      </c>
      <c r="D392" t="s">
        <v>20</v>
      </c>
      <c r="E392" t="s">
        <v>17</v>
      </c>
      <c r="F392" s="1">
        <v>37</v>
      </c>
      <c r="G392" s="1" t="s">
        <v>437</v>
      </c>
      <c r="H392" s="5">
        <v>1649</v>
      </c>
      <c r="I392" t="s">
        <v>438</v>
      </c>
      <c r="J392" s="1">
        <v>2</v>
      </c>
      <c r="K392" s="1" t="s">
        <v>446</v>
      </c>
      <c r="L392">
        <v>70</v>
      </c>
      <c r="M392" t="s">
        <v>440</v>
      </c>
    </row>
    <row r="393" spans="1:13" x14ac:dyDescent="0.25">
      <c r="A393" t="s">
        <v>424</v>
      </c>
      <c r="B393" t="s">
        <v>49</v>
      </c>
      <c r="C393" t="s">
        <v>23</v>
      </c>
      <c r="D393" t="s">
        <v>16</v>
      </c>
      <c r="E393" t="s">
        <v>17</v>
      </c>
      <c r="F393" s="1">
        <v>46</v>
      </c>
      <c r="G393" s="1" t="s">
        <v>449</v>
      </c>
      <c r="H393" s="5">
        <v>219</v>
      </c>
      <c r="I393" t="s">
        <v>438</v>
      </c>
      <c r="J393" s="1">
        <v>2</v>
      </c>
      <c r="K393" s="1" t="s">
        <v>446</v>
      </c>
      <c r="L393">
        <v>58</v>
      </c>
      <c r="M393" t="s">
        <v>442</v>
      </c>
    </row>
    <row r="394" spans="1:13" x14ac:dyDescent="0.25">
      <c r="A394" t="s">
        <v>425</v>
      </c>
      <c r="B394" t="s">
        <v>22</v>
      </c>
      <c r="C394" t="s">
        <v>23</v>
      </c>
      <c r="D394" t="s">
        <v>20</v>
      </c>
      <c r="E394" t="s">
        <v>13</v>
      </c>
      <c r="F394" s="1">
        <v>64</v>
      </c>
      <c r="G394" s="1" t="s">
        <v>443</v>
      </c>
      <c r="H394" s="5">
        <v>1037</v>
      </c>
      <c r="I394" t="s">
        <v>438</v>
      </c>
      <c r="J394" s="1">
        <v>3</v>
      </c>
      <c r="K394" s="1" t="s">
        <v>447</v>
      </c>
      <c r="L394">
        <v>81</v>
      </c>
      <c r="M394" t="s">
        <v>440</v>
      </c>
    </row>
    <row r="395" spans="1:13" x14ac:dyDescent="0.25">
      <c r="A395" t="s">
        <v>426</v>
      </c>
      <c r="B395" t="s">
        <v>25</v>
      </c>
      <c r="C395" t="s">
        <v>23</v>
      </c>
      <c r="D395" t="s">
        <v>34</v>
      </c>
      <c r="E395" t="s">
        <v>17</v>
      </c>
      <c r="F395" s="1">
        <v>73</v>
      </c>
      <c r="G395" s="1" t="s">
        <v>443</v>
      </c>
      <c r="H395" s="5">
        <v>263</v>
      </c>
      <c r="I395" t="s">
        <v>438</v>
      </c>
      <c r="J395" s="1">
        <v>1</v>
      </c>
      <c r="K395" s="1" t="s">
        <v>446</v>
      </c>
      <c r="L395">
        <v>68</v>
      </c>
      <c r="M395" t="s">
        <v>440</v>
      </c>
    </row>
    <row r="396" spans="1:13" x14ac:dyDescent="0.25">
      <c r="A396" t="s">
        <v>427</v>
      </c>
      <c r="B396" t="s">
        <v>15</v>
      </c>
      <c r="C396" t="s">
        <v>26</v>
      </c>
      <c r="D396" t="s">
        <v>60</v>
      </c>
      <c r="E396" t="s">
        <v>13</v>
      </c>
      <c r="F396" s="1">
        <v>22</v>
      </c>
      <c r="G396" s="1" t="s">
        <v>450</v>
      </c>
      <c r="H396" s="5">
        <v>4746</v>
      </c>
      <c r="I396" t="s">
        <v>438</v>
      </c>
      <c r="J396" s="1">
        <v>9</v>
      </c>
      <c r="K396" s="1" t="s">
        <v>439</v>
      </c>
      <c r="L396">
        <v>85</v>
      </c>
      <c r="M396" t="s">
        <v>440</v>
      </c>
    </row>
    <row r="397" spans="1:13" x14ac:dyDescent="0.25">
      <c r="A397" t="s">
        <v>428</v>
      </c>
      <c r="B397" t="s">
        <v>19</v>
      </c>
      <c r="C397" t="s">
        <v>11</v>
      </c>
      <c r="D397" t="s">
        <v>16</v>
      </c>
      <c r="E397" t="s">
        <v>17</v>
      </c>
      <c r="F397" s="1">
        <v>70</v>
      </c>
      <c r="G397" s="1" t="s">
        <v>443</v>
      </c>
      <c r="H397" s="5">
        <v>18488</v>
      </c>
      <c r="I397" t="s">
        <v>444</v>
      </c>
      <c r="J397" s="1">
        <v>10</v>
      </c>
      <c r="K397" s="1" t="s">
        <v>439</v>
      </c>
      <c r="L397">
        <v>84</v>
      </c>
      <c r="M397" t="s">
        <v>440</v>
      </c>
    </row>
    <row r="398" spans="1:13" x14ac:dyDescent="0.25">
      <c r="A398" t="s">
        <v>429</v>
      </c>
      <c r="B398" t="s">
        <v>49</v>
      </c>
      <c r="C398" t="s">
        <v>11</v>
      </c>
      <c r="D398" t="s">
        <v>34</v>
      </c>
      <c r="E398" t="s">
        <v>13</v>
      </c>
      <c r="F398" s="1">
        <v>55</v>
      </c>
      <c r="G398" s="1" t="s">
        <v>449</v>
      </c>
      <c r="H398" s="5">
        <v>6677</v>
      </c>
      <c r="I398" t="s">
        <v>438</v>
      </c>
      <c r="J398" s="1">
        <v>15</v>
      </c>
      <c r="K398" s="1" t="s">
        <v>445</v>
      </c>
      <c r="L398">
        <v>98</v>
      </c>
      <c r="M398" t="s">
        <v>440</v>
      </c>
    </row>
    <row r="399" spans="1:13" x14ac:dyDescent="0.25">
      <c r="A399" t="s">
        <v>430</v>
      </c>
      <c r="B399" t="s">
        <v>22</v>
      </c>
      <c r="C399" t="s">
        <v>26</v>
      </c>
      <c r="D399" t="s">
        <v>12</v>
      </c>
      <c r="E399" t="s">
        <v>17</v>
      </c>
      <c r="F399" s="1">
        <v>45</v>
      </c>
      <c r="G399" s="1" t="s">
        <v>449</v>
      </c>
      <c r="H399" s="5">
        <v>1712</v>
      </c>
      <c r="I399" t="s">
        <v>438</v>
      </c>
      <c r="J399" s="1">
        <v>9</v>
      </c>
      <c r="K399" s="1" t="s">
        <v>439</v>
      </c>
      <c r="L399">
        <v>57</v>
      </c>
      <c r="M399" t="s">
        <v>442</v>
      </c>
    </row>
    <row r="400" spans="1:13" x14ac:dyDescent="0.25">
      <c r="A400" t="s">
        <v>431</v>
      </c>
      <c r="B400" t="s">
        <v>49</v>
      </c>
      <c r="C400" t="s">
        <v>40</v>
      </c>
      <c r="D400" t="s">
        <v>60</v>
      </c>
      <c r="E400" t="s">
        <v>13</v>
      </c>
      <c r="F400" s="1">
        <v>76</v>
      </c>
      <c r="G400" s="1" t="s">
        <v>443</v>
      </c>
      <c r="H400" s="5">
        <v>3372</v>
      </c>
      <c r="I400" t="s">
        <v>438</v>
      </c>
      <c r="J400" s="1">
        <v>5</v>
      </c>
      <c r="K400" s="1" t="s">
        <v>447</v>
      </c>
      <c r="L400">
        <v>90</v>
      </c>
      <c r="M400" t="s">
        <v>440</v>
      </c>
    </row>
    <row r="401" spans="1:13" x14ac:dyDescent="0.25">
      <c r="A401" t="s">
        <v>432</v>
      </c>
      <c r="B401" t="s">
        <v>25</v>
      </c>
      <c r="C401" t="s">
        <v>40</v>
      </c>
      <c r="D401" t="s">
        <v>16</v>
      </c>
      <c r="E401" t="s">
        <v>17</v>
      </c>
      <c r="F401" s="1">
        <v>27</v>
      </c>
      <c r="G401" s="1" t="s">
        <v>450</v>
      </c>
      <c r="H401" s="5">
        <v>2195</v>
      </c>
      <c r="I401" t="s">
        <v>438</v>
      </c>
      <c r="J401" s="1">
        <v>1</v>
      </c>
      <c r="K401" s="1" t="s">
        <v>446</v>
      </c>
      <c r="L401">
        <v>86</v>
      </c>
      <c r="M401" t="s">
        <v>440</v>
      </c>
    </row>
    <row r="402" spans="1:13" x14ac:dyDescent="0.25">
      <c r="H402" s="5"/>
    </row>
    <row r="403" spans="1:13" x14ac:dyDescent="0.25">
      <c r="H403" s="5"/>
    </row>
    <row r="409" spans="1:13" x14ac:dyDescent="0.25">
      <c r="H409" s="10"/>
    </row>
    <row r="410" spans="1:13" x14ac:dyDescent="0.25">
      <c r="H410" s="10"/>
    </row>
    <row r="411" spans="1:13" x14ac:dyDescent="0.25">
      <c r="H411" s="10"/>
    </row>
    <row r="412" spans="1:13" x14ac:dyDescent="0.25">
      <c r="H412" s="10"/>
    </row>
    <row r="413" spans="1:13" x14ac:dyDescent="0.25">
      <c r="H413" s="10"/>
    </row>
    <row r="414" spans="1:13" x14ac:dyDescent="0.25">
      <c r="H414" s="10"/>
    </row>
    <row r="415" spans="1:13" x14ac:dyDescent="0.25">
      <c r="H415" s="10"/>
    </row>
    <row r="416" spans="1:13" x14ac:dyDescent="0.25">
      <c r="H416" s="10"/>
    </row>
    <row r="417" spans="8:8" x14ac:dyDescent="0.25">
      <c r="H417" s="10"/>
    </row>
    <row r="418" spans="8:8" x14ac:dyDescent="0.25">
      <c r="H418" s="10"/>
    </row>
    <row r="419" spans="8:8" x14ac:dyDescent="0.25">
      <c r="H419" s="10"/>
    </row>
    <row r="420" spans="8:8" x14ac:dyDescent="0.25">
      <c r="H420" s="10"/>
    </row>
    <row r="421" spans="8:8" x14ac:dyDescent="0.25">
      <c r="H421" s="10"/>
    </row>
    <row r="422" spans="8:8" x14ac:dyDescent="0.25">
      <c r="H422" s="10"/>
    </row>
    <row r="423" spans="8:8" x14ac:dyDescent="0.25">
      <c r="H423" s="10"/>
    </row>
    <row r="424" spans="8:8" x14ac:dyDescent="0.25">
      <c r="H424" s="10"/>
    </row>
    <row r="425" spans="8:8" x14ac:dyDescent="0.25">
      <c r="H425" s="10"/>
    </row>
    <row r="426" spans="8:8" x14ac:dyDescent="0.25">
      <c r="H426" s="10"/>
    </row>
    <row r="427" spans="8:8" x14ac:dyDescent="0.25">
      <c r="H427" s="10"/>
    </row>
    <row r="428" spans="8:8" x14ac:dyDescent="0.25">
      <c r="H428" s="10"/>
    </row>
    <row r="429" spans="8:8" x14ac:dyDescent="0.25">
      <c r="H429" s="10"/>
    </row>
    <row r="430" spans="8:8" x14ac:dyDescent="0.25">
      <c r="H430" s="10"/>
    </row>
    <row r="431" spans="8:8" x14ac:dyDescent="0.25">
      <c r="H431" s="10"/>
    </row>
    <row r="432" spans="8:8" x14ac:dyDescent="0.25">
      <c r="H432" s="10"/>
    </row>
    <row r="433" spans="8:8" x14ac:dyDescent="0.25">
      <c r="H433" s="10"/>
    </row>
    <row r="434" spans="8:8" x14ac:dyDescent="0.25">
      <c r="H434" s="10"/>
    </row>
    <row r="435" spans="8:8" x14ac:dyDescent="0.25">
      <c r="H435" s="10"/>
    </row>
    <row r="436" spans="8:8" x14ac:dyDescent="0.25">
      <c r="H436" s="10"/>
    </row>
    <row r="437" spans="8:8" x14ac:dyDescent="0.25">
      <c r="H437" s="10"/>
    </row>
    <row r="438" spans="8:8" x14ac:dyDescent="0.25">
      <c r="H438" s="10"/>
    </row>
    <row r="439" spans="8:8" x14ac:dyDescent="0.25">
      <c r="H439" s="10"/>
    </row>
    <row r="440" spans="8:8" x14ac:dyDescent="0.25">
      <c r="H440" s="10"/>
    </row>
    <row r="441" spans="8:8" x14ac:dyDescent="0.25">
      <c r="H441" s="10"/>
    </row>
    <row r="442" spans="8:8" x14ac:dyDescent="0.25">
      <c r="H442" s="10"/>
    </row>
    <row r="443" spans="8:8" x14ac:dyDescent="0.25">
      <c r="H443" s="10"/>
    </row>
    <row r="444" spans="8:8" x14ac:dyDescent="0.25">
      <c r="H444" s="10"/>
    </row>
    <row r="445" spans="8:8" x14ac:dyDescent="0.25">
      <c r="H445" s="10"/>
    </row>
    <row r="446" spans="8:8" x14ac:dyDescent="0.25">
      <c r="H446" s="10"/>
    </row>
    <row r="447" spans="8:8" x14ac:dyDescent="0.25">
      <c r="H447" s="10"/>
    </row>
    <row r="448" spans="8:8" x14ac:dyDescent="0.25">
      <c r="H448" s="10"/>
    </row>
    <row r="449" spans="8:8" x14ac:dyDescent="0.25">
      <c r="H449" s="10"/>
    </row>
    <row r="450" spans="8:8" x14ac:dyDescent="0.25">
      <c r="H450" s="10"/>
    </row>
    <row r="451" spans="8:8" x14ac:dyDescent="0.25">
      <c r="H451" s="10"/>
    </row>
    <row r="452" spans="8:8" x14ac:dyDescent="0.25">
      <c r="H452" s="10"/>
    </row>
    <row r="453" spans="8:8" x14ac:dyDescent="0.25">
      <c r="H453" s="10"/>
    </row>
    <row r="454" spans="8:8" x14ac:dyDescent="0.25">
      <c r="H454" s="10"/>
    </row>
    <row r="455" spans="8:8" x14ac:dyDescent="0.25">
      <c r="H455" s="10"/>
    </row>
    <row r="456" spans="8:8" x14ac:dyDescent="0.25">
      <c r="H456" s="10"/>
    </row>
    <row r="457" spans="8:8" x14ac:dyDescent="0.25">
      <c r="H457" s="10"/>
    </row>
    <row r="458" spans="8:8" x14ac:dyDescent="0.25">
      <c r="H458" s="10"/>
    </row>
    <row r="459" spans="8:8" x14ac:dyDescent="0.25">
      <c r="H459" s="10"/>
    </row>
    <row r="460" spans="8:8" x14ac:dyDescent="0.25">
      <c r="H460" s="10"/>
    </row>
    <row r="461" spans="8:8" x14ac:dyDescent="0.25">
      <c r="H461" s="10"/>
    </row>
    <row r="462" spans="8:8" x14ac:dyDescent="0.25">
      <c r="H462" s="10"/>
    </row>
    <row r="463" spans="8:8" x14ac:dyDescent="0.25">
      <c r="H463" s="10"/>
    </row>
    <row r="464" spans="8:8" x14ac:dyDescent="0.25">
      <c r="H464" s="10"/>
    </row>
    <row r="465" spans="8:8" x14ac:dyDescent="0.25">
      <c r="H465" s="10"/>
    </row>
    <row r="466" spans="8:8" x14ac:dyDescent="0.25">
      <c r="H466" s="10"/>
    </row>
    <row r="467" spans="8:8" x14ac:dyDescent="0.25">
      <c r="H467" s="10"/>
    </row>
    <row r="468" spans="8:8" x14ac:dyDescent="0.25">
      <c r="H468" s="9"/>
    </row>
  </sheetData>
  <pageMargins left="0.75" right="0.75" top="1" bottom="1" header="0.5" footer="0.5"/>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BC7D4-02EE-4972-80B7-831DC55931E2}">
  <dimension ref="A3:E130"/>
  <sheetViews>
    <sheetView tabSelected="1" topLeftCell="A88" workbookViewId="0">
      <selection activeCell="B100" sqref="B100"/>
    </sheetView>
  </sheetViews>
  <sheetFormatPr defaultRowHeight="15" x14ac:dyDescent="0.25"/>
  <cols>
    <col min="1" max="1" width="14.7109375" bestFit="1" customWidth="1"/>
    <col min="2" max="2" width="16.28515625" bestFit="1" customWidth="1"/>
    <col min="3" max="3" width="26.42578125" bestFit="1" customWidth="1"/>
    <col min="4" max="4" width="22.5703125" bestFit="1" customWidth="1"/>
    <col min="5" max="5" width="26.42578125" bestFit="1" customWidth="1"/>
  </cols>
  <sheetData>
    <row r="3" spans="1:3" x14ac:dyDescent="0.25">
      <c r="A3" s="3" t="s">
        <v>452</v>
      </c>
    </row>
    <row r="4" spans="1:3" x14ac:dyDescent="0.25">
      <c r="A4" s="4" t="s">
        <v>453</v>
      </c>
      <c r="B4">
        <v>400</v>
      </c>
      <c r="C4" s="8">
        <f>B5/B4</f>
        <v>5051.5249999999996</v>
      </c>
    </row>
    <row r="5" spans="1:3" x14ac:dyDescent="0.25">
      <c r="A5" s="4" t="s">
        <v>454</v>
      </c>
      <c r="B5" s="6">
        <v>2020610</v>
      </c>
    </row>
    <row r="6" spans="1:3" x14ac:dyDescent="0.25">
      <c r="A6" s="4" t="s">
        <v>455</v>
      </c>
      <c r="B6" s="1">
        <v>5.3525</v>
      </c>
    </row>
    <row r="10" spans="1:3" x14ac:dyDescent="0.25">
      <c r="A10" s="3" t="s">
        <v>456</v>
      </c>
      <c r="B10" t="s">
        <v>457</v>
      </c>
      <c r="C10" t="s">
        <v>458</v>
      </c>
    </row>
    <row r="11" spans="1:3" x14ac:dyDescent="0.25">
      <c r="A11" s="4" t="s">
        <v>40</v>
      </c>
      <c r="B11">
        <v>102</v>
      </c>
      <c r="C11" s="7">
        <f>B11/$B$15</f>
        <v>0.255</v>
      </c>
    </row>
    <row r="12" spans="1:3" x14ac:dyDescent="0.25">
      <c r="A12" s="4" t="s">
        <v>23</v>
      </c>
      <c r="B12">
        <v>102</v>
      </c>
      <c r="C12" s="7">
        <f t="shared" ref="C12:C14" si="0">B12/$B$15</f>
        <v>0.255</v>
      </c>
    </row>
    <row r="13" spans="1:3" x14ac:dyDescent="0.25">
      <c r="A13" s="4" t="s">
        <v>11</v>
      </c>
      <c r="B13">
        <v>97</v>
      </c>
      <c r="C13" s="7">
        <f t="shared" si="0"/>
        <v>0.24249999999999999</v>
      </c>
    </row>
    <row r="14" spans="1:3" x14ac:dyDescent="0.25">
      <c r="A14" s="4" t="s">
        <v>26</v>
      </c>
      <c r="B14">
        <v>99</v>
      </c>
      <c r="C14" s="7">
        <f t="shared" si="0"/>
        <v>0.2475</v>
      </c>
    </row>
    <row r="15" spans="1:3" x14ac:dyDescent="0.25">
      <c r="A15" s="4" t="s">
        <v>459</v>
      </c>
      <c r="B15">
        <v>400</v>
      </c>
    </row>
    <row r="25" spans="1:5" x14ac:dyDescent="0.25">
      <c r="A25" s="3" t="s">
        <v>456</v>
      </c>
      <c r="B25" t="s">
        <v>460</v>
      </c>
      <c r="D25" s="2" t="s">
        <v>456</v>
      </c>
      <c r="E25" s="2" t="s">
        <v>460</v>
      </c>
    </row>
    <row r="26" spans="1:5" x14ac:dyDescent="0.25">
      <c r="A26" s="4" t="s">
        <v>40</v>
      </c>
      <c r="B26">
        <v>7718</v>
      </c>
      <c r="D26" s="4" t="s">
        <v>40</v>
      </c>
      <c r="E26">
        <f>B26</f>
        <v>7718</v>
      </c>
    </row>
    <row r="27" spans="1:5" x14ac:dyDescent="0.25">
      <c r="A27" s="4" t="s">
        <v>23</v>
      </c>
      <c r="B27">
        <v>7432</v>
      </c>
      <c r="D27" s="4" t="s">
        <v>23</v>
      </c>
      <c r="E27">
        <f>B27</f>
        <v>7432</v>
      </c>
    </row>
    <row r="28" spans="1:5" x14ac:dyDescent="0.25">
      <c r="A28" s="4" t="s">
        <v>11</v>
      </c>
      <c r="B28">
        <v>7453</v>
      </c>
      <c r="D28" s="4" t="s">
        <v>11</v>
      </c>
      <c r="E28">
        <f>B28</f>
        <v>7453</v>
      </c>
    </row>
    <row r="29" spans="1:5" x14ac:dyDescent="0.25">
      <c r="A29" s="4" t="s">
        <v>26</v>
      </c>
      <c r="B29">
        <v>7533</v>
      </c>
      <c r="D29" s="4" t="s">
        <v>26</v>
      </c>
      <c r="E29">
        <f>B29</f>
        <v>7533</v>
      </c>
    </row>
    <row r="30" spans="1:5" x14ac:dyDescent="0.25">
      <c r="A30" s="4" t="s">
        <v>459</v>
      </c>
      <c r="B30">
        <v>30136</v>
      </c>
    </row>
    <row r="34" spans="1:5" x14ac:dyDescent="0.25">
      <c r="A34" s="3" t="s">
        <v>456</v>
      </c>
      <c r="B34" t="s">
        <v>460</v>
      </c>
      <c r="D34" s="2" t="s">
        <v>456</v>
      </c>
      <c r="E34" s="2" t="s">
        <v>460</v>
      </c>
    </row>
    <row r="35" spans="1:5" x14ac:dyDescent="0.25">
      <c r="A35" s="4" t="s">
        <v>13</v>
      </c>
      <c r="B35">
        <v>14229</v>
      </c>
      <c r="D35" s="4" t="s">
        <v>13</v>
      </c>
      <c r="E35">
        <f>B35</f>
        <v>14229</v>
      </c>
    </row>
    <row r="36" spans="1:5" x14ac:dyDescent="0.25">
      <c r="A36" s="4" t="s">
        <v>17</v>
      </c>
      <c r="B36">
        <v>15564</v>
      </c>
      <c r="D36" s="4" t="s">
        <v>17</v>
      </c>
      <c r="E36">
        <f t="shared" ref="E36:E37" si="1">B36</f>
        <v>15564</v>
      </c>
    </row>
    <row r="37" spans="1:5" x14ac:dyDescent="0.25">
      <c r="A37" s="4" t="s">
        <v>37</v>
      </c>
      <c r="B37">
        <v>343</v>
      </c>
      <c r="D37" s="4" t="s">
        <v>37</v>
      </c>
      <c r="E37">
        <f t="shared" si="1"/>
        <v>343</v>
      </c>
    </row>
    <row r="38" spans="1:5" x14ac:dyDescent="0.25">
      <c r="A38" s="4" t="s">
        <v>459</v>
      </c>
      <c r="B38">
        <v>30136</v>
      </c>
    </row>
    <row r="42" spans="1:5" x14ac:dyDescent="0.25">
      <c r="A42" s="3" t="s">
        <v>456</v>
      </c>
      <c r="B42" t="s">
        <v>460</v>
      </c>
    </row>
    <row r="43" spans="1:5" x14ac:dyDescent="0.25">
      <c r="A43" s="4" t="s">
        <v>60</v>
      </c>
      <c r="B43">
        <v>2334</v>
      </c>
      <c r="D43" s="4" t="s">
        <v>60</v>
      </c>
      <c r="E43">
        <f>B43</f>
        <v>2334</v>
      </c>
    </row>
    <row r="44" spans="1:5" x14ac:dyDescent="0.25">
      <c r="A44" s="4" t="s">
        <v>34</v>
      </c>
      <c r="B44">
        <v>3520</v>
      </c>
      <c r="D44" s="4" t="s">
        <v>34</v>
      </c>
      <c r="E44">
        <f t="shared" ref="E44:E51" si="2">B44</f>
        <v>3520</v>
      </c>
    </row>
    <row r="45" spans="1:5" x14ac:dyDescent="0.25">
      <c r="A45" s="4" t="s">
        <v>29</v>
      </c>
      <c r="B45">
        <v>3149</v>
      </c>
      <c r="D45" s="4" t="s">
        <v>29</v>
      </c>
      <c r="E45">
        <f t="shared" si="2"/>
        <v>3149</v>
      </c>
    </row>
    <row r="46" spans="1:5" x14ac:dyDescent="0.25">
      <c r="A46" s="4" t="s">
        <v>31</v>
      </c>
      <c r="B46">
        <v>3690</v>
      </c>
      <c r="D46" s="4" t="s">
        <v>31</v>
      </c>
      <c r="E46">
        <f t="shared" si="2"/>
        <v>3690</v>
      </c>
    </row>
    <row r="47" spans="1:5" x14ac:dyDescent="0.25">
      <c r="A47" s="4" t="s">
        <v>27</v>
      </c>
      <c r="B47">
        <v>3307</v>
      </c>
      <c r="D47" s="4" t="s">
        <v>27</v>
      </c>
      <c r="E47">
        <f t="shared" si="2"/>
        <v>3307</v>
      </c>
    </row>
    <row r="48" spans="1:5" x14ac:dyDescent="0.25">
      <c r="A48" s="4" t="s">
        <v>16</v>
      </c>
      <c r="B48">
        <v>2793</v>
      </c>
      <c r="D48" s="4" t="s">
        <v>16</v>
      </c>
      <c r="E48">
        <f t="shared" si="2"/>
        <v>2793</v>
      </c>
    </row>
    <row r="49" spans="1:5" x14ac:dyDescent="0.25">
      <c r="A49" s="4" t="s">
        <v>47</v>
      </c>
      <c r="B49">
        <v>3012</v>
      </c>
      <c r="D49" s="4" t="s">
        <v>47</v>
      </c>
      <c r="E49">
        <f t="shared" si="2"/>
        <v>3012</v>
      </c>
    </row>
    <row r="50" spans="1:5" x14ac:dyDescent="0.25">
      <c r="A50" s="4" t="s">
        <v>20</v>
      </c>
      <c r="B50">
        <v>4003</v>
      </c>
      <c r="D50" s="4" t="s">
        <v>20</v>
      </c>
      <c r="E50">
        <f t="shared" si="2"/>
        <v>4003</v>
      </c>
    </row>
    <row r="51" spans="1:5" x14ac:dyDescent="0.25">
      <c r="A51" s="4" t="s">
        <v>12</v>
      </c>
      <c r="B51">
        <v>1884</v>
      </c>
      <c r="D51" s="4" t="s">
        <v>12</v>
      </c>
      <c r="E51">
        <f t="shared" si="2"/>
        <v>1884</v>
      </c>
    </row>
    <row r="52" spans="1:5" x14ac:dyDescent="0.25">
      <c r="A52" s="4" t="s">
        <v>42</v>
      </c>
      <c r="B52">
        <v>2444</v>
      </c>
      <c r="D52" s="4" t="s">
        <v>42</v>
      </c>
      <c r="E52">
        <f>B52</f>
        <v>2444</v>
      </c>
    </row>
    <row r="53" spans="1:5" x14ac:dyDescent="0.25">
      <c r="A53" s="4" t="s">
        <v>459</v>
      </c>
      <c r="B53">
        <v>30136</v>
      </c>
    </row>
    <row r="58" spans="1:5" x14ac:dyDescent="0.25">
      <c r="A58" s="3" t="s">
        <v>456</v>
      </c>
      <c r="B58" t="s">
        <v>453</v>
      </c>
      <c r="D58" s="2" t="s">
        <v>456</v>
      </c>
      <c r="E58" s="2" t="s">
        <v>453</v>
      </c>
    </row>
    <row r="59" spans="1:5" x14ac:dyDescent="0.25">
      <c r="A59" s="4" t="s">
        <v>60</v>
      </c>
      <c r="B59">
        <v>31</v>
      </c>
      <c r="D59" s="4" t="s">
        <v>60</v>
      </c>
      <c r="E59">
        <f>B59</f>
        <v>31</v>
      </c>
    </row>
    <row r="60" spans="1:5" x14ac:dyDescent="0.25">
      <c r="A60" s="4" t="s">
        <v>34</v>
      </c>
      <c r="B60">
        <v>47</v>
      </c>
      <c r="D60" s="4" t="s">
        <v>34</v>
      </c>
      <c r="E60">
        <f t="shared" ref="E60:E68" si="3">B60</f>
        <v>47</v>
      </c>
    </row>
    <row r="61" spans="1:5" x14ac:dyDescent="0.25">
      <c r="A61" s="4" t="s">
        <v>29</v>
      </c>
      <c r="B61">
        <v>41</v>
      </c>
      <c r="D61" s="4" t="s">
        <v>29</v>
      </c>
      <c r="E61">
        <f t="shared" si="3"/>
        <v>41</v>
      </c>
    </row>
    <row r="62" spans="1:5" x14ac:dyDescent="0.25">
      <c r="A62" s="4" t="s">
        <v>31</v>
      </c>
      <c r="B62">
        <v>47</v>
      </c>
      <c r="D62" s="4" t="s">
        <v>31</v>
      </c>
      <c r="E62">
        <f t="shared" si="3"/>
        <v>47</v>
      </c>
    </row>
    <row r="63" spans="1:5" x14ac:dyDescent="0.25">
      <c r="A63" s="4" t="s">
        <v>27</v>
      </c>
      <c r="B63">
        <v>43</v>
      </c>
      <c r="D63" s="4" t="s">
        <v>27</v>
      </c>
      <c r="E63">
        <f t="shared" si="3"/>
        <v>43</v>
      </c>
    </row>
    <row r="64" spans="1:5" x14ac:dyDescent="0.25">
      <c r="A64" s="4" t="s">
        <v>16</v>
      </c>
      <c r="B64">
        <v>38</v>
      </c>
      <c r="D64" s="4" t="s">
        <v>16</v>
      </c>
      <c r="E64">
        <f t="shared" si="3"/>
        <v>38</v>
      </c>
    </row>
    <row r="65" spans="1:5" x14ac:dyDescent="0.25">
      <c r="A65" s="4" t="s">
        <v>47</v>
      </c>
      <c r="B65">
        <v>39</v>
      </c>
      <c r="D65" s="4" t="s">
        <v>47</v>
      </c>
      <c r="E65">
        <f t="shared" si="3"/>
        <v>39</v>
      </c>
    </row>
    <row r="66" spans="1:5" x14ac:dyDescent="0.25">
      <c r="A66" s="4" t="s">
        <v>20</v>
      </c>
      <c r="B66">
        <v>55</v>
      </c>
      <c r="D66" s="4" t="s">
        <v>20</v>
      </c>
      <c r="E66">
        <f t="shared" si="3"/>
        <v>55</v>
      </c>
    </row>
    <row r="67" spans="1:5" x14ac:dyDescent="0.25">
      <c r="A67" s="4" t="s">
        <v>12</v>
      </c>
      <c r="B67">
        <v>27</v>
      </c>
      <c r="D67" s="4" t="s">
        <v>12</v>
      </c>
      <c r="E67">
        <f t="shared" si="3"/>
        <v>27</v>
      </c>
    </row>
    <row r="68" spans="1:5" x14ac:dyDescent="0.25">
      <c r="A68" s="4" t="s">
        <v>42</v>
      </c>
      <c r="B68">
        <v>32</v>
      </c>
      <c r="D68" s="4" t="s">
        <v>42</v>
      </c>
      <c r="E68">
        <f t="shared" si="3"/>
        <v>32</v>
      </c>
    </row>
    <row r="69" spans="1:5" x14ac:dyDescent="0.25">
      <c r="A69" s="4" t="s">
        <v>459</v>
      </c>
      <c r="B69">
        <v>400</v>
      </c>
    </row>
    <row r="73" spans="1:5" x14ac:dyDescent="0.25">
      <c r="A73" s="3" t="s">
        <v>456</v>
      </c>
      <c r="B73" t="s">
        <v>461</v>
      </c>
      <c r="D73" s="2" t="s">
        <v>456</v>
      </c>
      <c r="E73" s="2" t="s">
        <v>461</v>
      </c>
    </row>
    <row r="74" spans="1:5" x14ac:dyDescent="0.25">
      <c r="A74" s="4" t="s">
        <v>437</v>
      </c>
      <c r="B74" s="1">
        <v>341</v>
      </c>
      <c r="D74" s="4" t="s">
        <v>437</v>
      </c>
      <c r="E74" s="1">
        <f>B74</f>
        <v>341</v>
      </c>
    </row>
    <row r="75" spans="1:5" x14ac:dyDescent="0.25">
      <c r="A75" s="4" t="s">
        <v>448</v>
      </c>
      <c r="B75" s="1">
        <v>244</v>
      </c>
      <c r="D75" s="4" t="s">
        <v>448</v>
      </c>
      <c r="E75" s="1">
        <f t="shared" ref="E75:E80" si="4">B75</f>
        <v>244</v>
      </c>
    </row>
    <row r="76" spans="1:5" x14ac:dyDescent="0.25">
      <c r="A76" s="4" t="s">
        <v>443</v>
      </c>
      <c r="B76" s="1">
        <v>665</v>
      </c>
      <c r="D76" s="4" t="s">
        <v>443</v>
      </c>
      <c r="E76" s="1">
        <f t="shared" si="4"/>
        <v>665</v>
      </c>
    </row>
    <row r="77" spans="1:5" x14ac:dyDescent="0.25">
      <c r="A77" s="4" t="s">
        <v>441</v>
      </c>
      <c r="B77" s="1">
        <v>93</v>
      </c>
      <c r="D77" s="4" t="s">
        <v>441</v>
      </c>
      <c r="E77" s="1">
        <f t="shared" si="4"/>
        <v>93</v>
      </c>
    </row>
    <row r="78" spans="1:5" x14ac:dyDescent="0.25">
      <c r="A78" s="4" t="s">
        <v>449</v>
      </c>
      <c r="B78" s="1">
        <v>417</v>
      </c>
      <c r="D78" s="4" t="s">
        <v>449</v>
      </c>
      <c r="E78" s="1">
        <f t="shared" si="4"/>
        <v>417</v>
      </c>
    </row>
    <row r="79" spans="1:5" x14ac:dyDescent="0.25">
      <c r="A79" s="4" t="s">
        <v>451</v>
      </c>
      <c r="B79" s="1">
        <v>177</v>
      </c>
      <c r="D79" s="4" t="s">
        <v>451</v>
      </c>
      <c r="E79" s="1">
        <f t="shared" si="4"/>
        <v>177</v>
      </c>
    </row>
    <row r="80" spans="1:5" x14ac:dyDescent="0.25">
      <c r="A80" s="4" t="s">
        <v>450</v>
      </c>
      <c r="B80" s="1">
        <v>204</v>
      </c>
      <c r="D80" s="4" t="s">
        <v>450</v>
      </c>
      <c r="E80" s="1">
        <f t="shared" si="4"/>
        <v>204</v>
      </c>
    </row>
    <row r="81" spans="1:5" x14ac:dyDescent="0.25">
      <c r="A81" s="4" t="s">
        <v>459</v>
      </c>
      <c r="B81" s="1">
        <v>2141</v>
      </c>
    </row>
    <row r="86" spans="1:5" x14ac:dyDescent="0.25">
      <c r="A86" s="3" t="s">
        <v>456</v>
      </c>
      <c r="B86" t="s">
        <v>460</v>
      </c>
      <c r="D86" s="2" t="s">
        <v>456</v>
      </c>
      <c r="E86" s="2" t="s">
        <v>460</v>
      </c>
    </row>
    <row r="87" spans="1:5" x14ac:dyDescent="0.25">
      <c r="A87" s="4" t="s">
        <v>437</v>
      </c>
      <c r="B87">
        <v>5061</v>
      </c>
      <c r="D87" s="4" t="s">
        <v>437</v>
      </c>
      <c r="E87">
        <f>B87</f>
        <v>5061</v>
      </c>
    </row>
    <row r="88" spans="1:5" x14ac:dyDescent="0.25">
      <c r="A88" s="4" t="s">
        <v>448</v>
      </c>
      <c r="B88">
        <v>3193</v>
      </c>
      <c r="D88" s="4" t="s">
        <v>448</v>
      </c>
      <c r="E88">
        <f t="shared" ref="E88:E93" si="5">B88</f>
        <v>3193</v>
      </c>
    </row>
    <row r="89" spans="1:5" x14ac:dyDescent="0.25">
      <c r="A89" s="4" t="s">
        <v>443</v>
      </c>
      <c r="B89">
        <v>9352</v>
      </c>
      <c r="D89" s="4" t="s">
        <v>443</v>
      </c>
      <c r="E89">
        <f t="shared" si="5"/>
        <v>9352</v>
      </c>
    </row>
    <row r="90" spans="1:5" x14ac:dyDescent="0.25">
      <c r="A90" s="4" t="s">
        <v>441</v>
      </c>
      <c r="B90">
        <v>1262</v>
      </c>
      <c r="D90" s="4" t="s">
        <v>441</v>
      </c>
      <c r="E90">
        <f t="shared" si="5"/>
        <v>1262</v>
      </c>
    </row>
    <row r="91" spans="1:5" x14ac:dyDescent="0.25">
      <c r="A91" s="4" t="s">
        <v>449</v>
      </c>
      <c r="B91">
        <v>6216</v>
      </c>
      <c r="D91" s="4" t="s">
        <v>449</v>
      </c>
      <c r="E91">
        <f t="shared" si="5"/>
        <v>6216</v>
      </c>
    </row>
    <row r="92" spans="1:5" x14ac:dyDescent="0.25">
      <c r="A92" s="4" t="s">
        <v>451</v>
      </c>
      <c r="B92">
        <v>2218</v>
      </c>
      <c r="D92" s="4" t="s">
        <v>451</v>
      </c>
      <c r="E92">
        <f t="shared" si="5"/>
        <v>2218</v>
      </c>
    </row>
    <row r="93" spans="1:5" x14ac:dyDescent="0.25">
      <c r="A93" s="4" t="s">
        <v>450</v>
      </c>
      <c r="B93">
        <v>2834</v>
      </c>
      <c r="D93" s="4" t="s">
        <v>450</v>
      </c>
      <c r="E93">
        <f t="shared" si="5"/>
        <v>2834</v>
      </c>
    </row>
    <row r="94" spans="1:5" x14ac:dyDescent="0.25">
      <c r="A94" s="4" t="s">
        <v>459</v>
      </c>
      <c r="B94">
        <v>30136</v>
      </c>
    </row>
    <row r="99" spans="1:5" x14ac:dyDescent="0.25">
      <c r="A99" s="3" t="s">
        <v>456</v>
      </c>
      <c r="B99" t="s">
        <v>454</v>
      </c>
      <c r="D99" s="2" t="s">
        <v>456</v>
      </c>
      <c r="E99" s="2" t="s">
        <v>454</v>
      </c>
    </row>
    <row r="100" spans="1:5" x14ac:dyDescent="0.25">
      <c r="A100" s="4" t="s">
        <v>15</v>
      </c>
      <c r="B100">
        <v>278496</v>
      </c>
      <c r="D100" s="4" t="s">
        <v>15</v>
      </c>
      <c r="E100">
        <f>B100</f>
        <v>278496</v>
      </c>
    </row>
    <row r="101" spans="1:5" x14ac:dyDescent="0.25">
      <c r="A101" s="4" t="s">
        <v>10</v>
      </c>
      <c r="B101">
        <v>302621</v>
      </c>
      <c r="D101" s="4" t="s">
        <v>10</v>
      </c>
      <c r="E101">
        <f t="shared" ref="E101:E106" si="6">B101</f>
        <v>302621</v>
      </c>
    </row>
    <row r="102" spans="1:5" x14ac:dyDescent="0.25">
      <c r="A102" s="4" t="s">
        <v>49</v>
      </c>
      <c r="B102">
        <v>278499</v>
      </c>
      <c r="D102" s="4" t="s">
        <v>49</v>
      </c>
      <c r="E102">
        <f t="shared" si="6"/>
        <v>278499</v>
      </c>
    </row>
    <row r="103" spans="1:5" x14ac:dyDescent="0.25">
      <c r="A103" s="4" t="s">
        <v>44</v>
      </c>
      <c r="B103">
        <v>290905</v>
      </c>
      <c r="D103" s="4" t="s">
        <v>44</v>
      </c>
      <c r="E103">
        <f t="shared" si="6"/>
        <v>290905</v>
      </c>
    </row>
    <row r="104" spans="1:5" x14ac:dyDescent="0.25">
      <c r="A104" s="4" t="s">
        <v>19</v>
      </c>
      <c r="B104">
        <v>274135</v>
      </c>
      <c r="D104" s="4" t="s">
        <v>19</v>
      </c>
      <c r="E104">
        <f t="shared" si="6"/>
        <v>274135</v>
      </c>
    </row>
    <row r="105" spans="1:5" x14ac:dyDescent="0.25">
      <c r="A105" s="4" t="s">
        <v>22</v>
      </c>
      <c r="B105">
        <v>266291</v>
      </c>
      <c r="D105" s="4" t="s">
        <v>22</v>
      </c>
      <c r="E105">
        <f t="shared" si="6"/>
        <v>266291</v>
      </c>
    </row>
    <row r="106" spans="1:5" x14ac:dyDescent="0.25">
      <c r="A106" s="4" t="s">
        <v>25</v>
      </c>
      <c r="B106">
        <v>329663</v>
      </c>
      <c r="D106" s="4" t="s">
        <v>25</v>
      </c>
      <c r="E106">
        <f t="shared" si="6"/>
        <v>329663</v>
      </c>
    </row>
    <row r="107" spans="1:5" x14ac:dyDescent="0.25">
      <c r="A107" s="4" t="s">
        <v>459</v>
      </c>
      <c r="B107">
        <v>2020610</v>
      </c>
    </row>
    <row r="111" spans="1:5" x14ac:dyDescent="0.25">
      <c r="A111" s="3" t="s">
        <v>456</v>
      </c>
      <c r="B111" t="s">
        <v>453</v>
      </c>
      <c r="D111" s="2" t="s">
        <v>456</v>
      </c>
      <c r="E111" s="2" t="s">
        <v>453</v>
      </c>
    </row>
    <row r="112" spans="1:5" x14ac:dyDescent="0.25">
      <c r="A112" s="4" t="s">
        <v>15</v>
      </c>
      <c r="B112">
        <v>53</v>
      </c>
      <c r="D112" s="4" t="s">
        <v>15</v>
      </c>
      <c r="E112">
        <f>B112</f>
        <v>53</v>
      </c>
    </row>
    <row r="113" spans="1:5" x14ac:dyDescent="0.25">
      <c r="A113" s="4" t="s">
        <v>10</v>
      </c>
      <c r="B113">
        <v>64</v>
      </c>
      <c r="D113" s="4" t="s">
        <v>10</v>
      </c>
      <c r="E113">
        <f t="shared" ref="E113:E118" si="7">B113</f>
        <v>64</v>
      </c>
    </row>
    <row r="114" spans="1:5" x14ac:dyDescent="0.25">
      <c r="A114" s="4" t="s">
        <v>49</v>
      </c>
      <c r="B114">
        <v>54</v>
      </c>
      <c r="D114" s="4" t="s">
        <v>49</v>
      </c>
      <c r="E114">
        <f t="shared" si="7"/>
        <v>54</v>
      </c>
    </row>
    <row r="115" spans="1:5" x14ac:dyDescent="0.25">
      <c r="A115" s="4" t="s">
        <v>44</v>
      </c>
      <c r="B115">
        <v>57</v>
      </c>
      <c r="D115" s="4" t="s">
        <v>44</v>
      </c>
      <c r="E115">
        <f t="shared" si="7"/>
        <v>57</v>
      </c>
    </row>
    <row r="116" spans="1:5" x14ac:dyDescent="0.25">
      <c r="A116" s="4" t="s">
        <v>19</v>
      </c>
      <c r="B116">
        <v>59</v>
      </c>
      <c r="D116" s="4" t="s">
        <v>19</v>
      </c>
      <c r="E116">
        <f t="shared" si="7"/>
        <v>59</v>
      </c>
    </row>
    <row r="117" spans="1:5" x14ac:dyDescent="0.25">
      <c r="A117" s="4" t="s">
        <v>22</v>
      </c>
      <c r="B117">
        <v>54</v>
      </c>
      <c r="D117" s="4" t="s">
        <v>22</v>
      </c>
      <c r="E117">
        <f t="shared" si="7"/>
        <v>54</v>
      </c>
    </row>
    <row r="118" spans="1:5" x14ac:dyDescent="0.25">
      <c r="A118" s="4" t="s">
        <v>25</v>
      </c>
      <c r="B118">
        <v>59</v>
      </c>
      <c r="D118" s="4" t="s">
        <v>25</v>
      </c>
      <c r="E118">
        <f t="shared" si="7"/>
        <v>59</v>
      </c>
    </row>
    <row r="119" spans="1:5" x14ac:dyDescent="0.25">
      <c r="A119" s="4" t="s">
        <v>459</v>
      </c>
      <c r="B119">
        <v>400</v>
      </c>
    </row>
    <row r="122" spans="1:5" x14ac:dyDescent="0.25">
      <c r="A122" s="3" t="s">
        <v>456</v>
      </c>
      <c r="B122" t="s">
        <v>455</v>
      </c>
      <c r="D122" s="2" t="s">
        <v>456</v>
      </c>
      <c r="E122" s="2" t="s">
        <v>455</v>
      </c>
    </row>
    <row r="123" spans="1:5" x14ac:dyDescent="0.25">
      <c r="A123" s="4" t="s">
        <v>15</v>
      </c>
      <c r="B123" s="11">
        <v>5.6037735849056602</v>
      </c>
      <c r="D123" s="4" t="s">
        <v>15</v>
      </c>
      <c r="E123" s="11">
        <f>B123</f>
        <v>5.6037735849056602</v>
      </c>
    </row>
    <row r="124" spans="1:5" x14ac:dyDescent="0.25">
      <c r="A124" s="4" t="s">
        <v>10</v>
      </c>
      <c r="B124" s="11">
        <v>4.671875</v>
      </c>
      <c r="D124" s="4" t="s">
        <v>10</v>
      </c>
      <c r="E124" s="11">
        <f t="shared" ref="E124:E129" si="8">B124</f>
        <v>4.671875</v>
      </c>
    </row>
    <row r="125" spans="1:5" x14ac:dyDescent="0.25">
      <c r="A125" s="4" t="s">
        <v>49</v>
      </c>
      <c r="B125" s="11">
        <v>5.9444444444444446</v>
      </c>
      <c r="D125" s="4" t="s">
        <v>49</v>
      </c>
      <c r="E125" s="11">
        <f t="shared" si="8"/>
        <v>5.9444444444444446</v>
      </c>
    </row>
    <row r="126" spans="1:5" x14ac:dyDescent="0.25">
      <c r="A126" s="4" t="s">
        <v>44</v>
      </c>
      <c r="B126" s="11">
        <v>5.5964912280701755</v>
      </c>
      <c r="D126" s="4" t="s">
        <v>44</v>
      </c>
      <c r="E126" s="11">
        <f t="shared" si="8"/>
        <v>5.5964912280701755</v>
      </c>
    </row>
    <row r="127" spans="1:5" x14ac:dyDescent="0.25">
      <c r="A127" s="4" t="s">
        <v>19</v>
      </c>
      <c r="B127" s="11">
        <v>4.7457627118644066</v>
      </c>
      <c r="D127" s="4" t="s">
        <v>19</v>
      </c>
      <c r="E127" s="11">
        <f t="shared" si="8"/>
        <v>4.7457627118644066</v>
      </c>
    </row>
    <row r="128" spans="1:5" x14ac:dyDescent="0.25">
      <c r="A128" s="4" t="s">
        <v>22</v>
      </c>
      <c r="B128" s="11">
        <v>5.6481481481481479</v>
      </c>
      <c r="D128" s="4" t="s">
        <v>22</v>
      </c>
      <c r="E128" s="11">
        <f t="shared" si="8"/>
        <v>5.6481481481481479</v>
      </c>
    </row>
    <row r="129" spans="1:5" x14ac:dyDescent="0.25">
      <c r="A129" s="4" t="s">
        <v>25</v>
      </c>
      <c r="B129" s="11">
        <v>5.4237288135593218</v>
      </c>
      <c r="D129" s="4" t="s">
        <v>25</v>
      </c>
      <c r="E129" s="11">
        <f t="shared" si="8"/>
        <v>5.4237288135593218</v>
      </c>
    </row>
    <row r="130" spans="1:5" x14ac:dyDescent="0.25">
      <c r="A130" s="4" t="s">
        <v>459</v>
      </c>
      <c r="B130" s="11">
        <v>5.3525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17FAC-42A6-4EC4-B136-7D859A5FD0FD}">
  <dimension ref="A1"/>
  <sheetViews>
    <sheetView showGridLines="0" zoomScale="65" zoomScaleNormal="65" workbookViewId="0">
      <selection activeCell="AE17" sqref="AE17"/>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Metadata/LabelInfo.xml><?xml version="1.0" encoding="utf-8"?>
<clbl:labelList xmlns:clbl="http://schemas.microsoft.com/office/2020/mipLabelMetadata">
  <clbl:label id="{a27aecc5-9430-457f-80b7-93f87b8fa2a5}" enabled="0" method="" siteId="{a27aecc5-9430-457f-80b7-93f87b8fa2a5}"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Hospital_Data (2)</vt:lpstr>
      <vt:lpstr>Clean Data</vt:lpstr>
      <vt:lpstr>Pivot Tables</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Adewunmi Moibi</cp:lastModifiedBy>
  <cp:revision/>
  <cp:lastPrinted>2026-06-19T02:37:18Z</cp:lastPrinted>
  <dcterms:created xsi:type="dcterms:W3CDTF">2026-03-12T22:17:36Z</dcterms:created>
  <dcterms:modified xsi:type="dcterms:W3CDTF">2026-06-19T04:45:32Z</dcterms:modified>
  <cp:category/>
  <cp:contentStatus/>
</cp:coreProperties>
</file>